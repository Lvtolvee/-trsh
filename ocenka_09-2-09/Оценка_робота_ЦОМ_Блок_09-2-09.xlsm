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водная" sheetId="1" state="visible" r:id="rId4"/>
    <sheet name="Чек-лист" sheetId="2" state="visible" r:id="rId5"/>
    <sheet name="Настройка Р1" sheetId="3" state="visible" r:id="rId6"/>
    <sheet name="Оценка Р1" sheetId="4" state="visible" r:id="rId7"/>
    <sheet name="Настройка Р2" sheetId="5" state="visible" r:id="rId8"/>
    <sheet name="Оценка Р2" sheetId="6" state="visible" r:id="rId9"/>
    <sheet name="Настройка Р3" sheetId="7" state="visible" r:id="rId10"/>
    <sheet name="Оценка Р3" sheetId="8" state="visible" r:id="rId11"/>
    <sheet name="Оценка сложности задач" sheetId="9" state="visible" r:id="rId12"/>
    <sheet name="FAQ" sheetId="10" state="hidden" r:id="rId13"/>
    <sheet name="Справочники" sheetId="11" state="visible" r:id="rId1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<sst xmlns="http://schemas.openxmlformats.org/spreadsheetml/2006/main" count="822" uniqueCount="336">
  <si>
    <t xml:space="preserve">Сводная оценка: роботизация внесения данных Блока 09-2/09 (портал ВСП → ИС ЦОМ)</t>
  </si>
  <si>
    <t xml:space="preserve">Интеграция производственных показателей Блока 09-2/09 СП «Вьетсовпетро» (портал ВСП → ИС ЦОМ). Заказчик: Управление добычи</t>
  </si>
  <si>
    <t xml:space="preserve">№</t>
  </si>
  <si>
    <t xml:space="preserve">Робот</t>
  </si>
  <si>
    <t xml:space="preserve">Периодичность запуска</t>
  </si>
  <si>
    <t xml:space="preserve">Источник (методы API портала ВСП)</t>
  </si>
  <si>
    <t xml:space="preserve">Куда вносит (витрины ИС ЦОМ)</t>
  </si>
  <si>
    <t xml:space="preserve">Настройка алгоритма, чел-час</t>
  </si>
  <si>
    <t xml:space="preserve">Всего трудозатрат, чел-час</t>
  </si>
  <si>
    <t xml:space="preserve">Стоимость, руб. без НДС</t>
  </si>
  <si>
    <t xml:space="preserve">Стоимость, руб. с НДС 22%</t>
  </si>
  <si>
    <t xml:space="preserve">Сроки, раб. дней</t>
  </si>
  <si>
    <t xml:space="preserve">Р1 «Суточный» — оперативные данные закрытия суток (факт) по Блоку 09-2/09</t>
  </si>
  <si>
    <t xml:space="preserve">1 раз в сутки (основной запуск утром после верификации данных порталом ВСП) + повторные попытки до контрольного времени; ручной запуск за произвольную дату</t>
  </si>
  <si>
    <t xml:space="preserve">API v1.1. Метод блока (do=VSP09209): collectfactVSP09209 (нефть). Общие методы ВСП (do=VSP, из ответа берётся ключ VSP09209_BK): collectfactliquidVSP (жидкость), collectfactwaterVSP (закачка), collectfactpngVSP (ПНГ), collectfacttoeVSP (ТНЭ)</t>
  </si>
  <si>
    <t xml:space="preserve">ПиТ → Закрытие: Нефть, Жидкость, Закачка, ПНГ, ТНЭ (строки «Блок 09-2/09» и «Большой Белый Кит (Блок 09-2/09)»)</t>
  </si>
  <si>
    <t xml:space="preserve">Р2 «Плановый» — Сетевой график и План-заявка ПНГ (месяц), Бизнес-план и ПХД ПНГ (год)</t>
  </si>
  <si>
    <t xml:space="preserve">1 раз в сутки, но только в окнах: месячное 28-е → 7-е число (СГ, План-заявка); годовое 20 декабря → 31 января (БП, ПХД); квартальное — первые 10 рабочих дней квартала (контроль корректировок БП). Вне окон — завершается сразу. Новая версия — только при изменении данных</t>
  </si>
  <si>
    <t xml:space="preserve">API v1.1. Методы блока (do=VSP09209): collectsgVSP09209 (31 значение), collectbpVSP09209 (12). Общие методы ВСП (do=VSP, ключ VSP09209_BK): collectorderpngVSP (31); collectbpliquidVSP, collectbpwaterVSP, collectbptoeVSP, collectphdpngVSP (по 12)</t>
  </si>
  <si>
    <t xml:space="preserve">Планирование → Нефть → Сетевой график / Бизнес-план; Жидкость, Закачка, ТНЭ → Бизнес-план; ПНГ → План-заявка и ПХД (столбец/строка «Блок 09-2/09»)</t>
  </si>
  <si>
    <t xml:space="preserve">Р3 «Оперативный» — показатели мнемосхемы Блока 09-2/09 и энергетика (несколько раз в сутки)</t>
  </si>
  <si>
    <t xml:space="preserve">Несколько раз в сутки: по умолчанию 3 раза (каждые 8 ч), с возможностью перенастройки до 1 раза в час</t>
  </si>
  <si>
    <t xml:space="preserve">Методы не определены (будут после предпроектного обследования): мнемосхема — до 50 показателей, энергетика — до 10 показателей</t>
  </si>
  <si>
    <t xml:space="preserve">Страница Блока 09-2/09 → вкладка «Схема» (табличная часть мнемосхемы); Вьетнам → Инфраструктура/Электроэнергия (строки Блока 09-2/09)</t>
  </si>
  <si>
    <t xml:space="preserve">ИТОГО по 3 роботам</t>
  </si>
  <si>
    <t xml:space="preserve">Средняя ставка, руб./чел-час (из шаблона, лист «Оценка Р1» F4)</t>
  </si>
  <si>
    <t xml:space="preserve">Сроки указаны для последовательной разработки одной командой; при параллельной разработке Р2 и Р3 после Р1 общий срок сокращается.</t>
  </si>
  <si>
    <t xml:space="preserve">Почему 3 робота (рассмотренные варианты)</t>
  </si>
  <si>
    <t xml:space="preserve">1</t>
  </si>
  <si>
    <t xml:space="preserve">Р1 «Суточный» отдельно: факт нужен каждое утро к закрытию суток, его нельзя блокировать сложной логикой версий планов; сбой планового потока не должен сорвать суточную загрузку.</t>
  </si>
  <si>
    <t xml:space="preserve">1а</t>
  </si>
  <si>
    <t xml:space="preserve">Р2 «Плановый»: месячные (СГ, План-заявка) и годовые/квартальные (БП, ПХД) данные объединены — один раздел ЦОМ «Планирование», одинаковая логика «снимок → сравнение → новая версия», редкие запуски по окнам. Отдельные месячный и годовой роботы дали бы ~+50 ч настройки и двойные ЧТЗ/ОПЭ/документацию.</t>
  </si>
  <si>
    <t xml:space="preserve">1б</t>
  </si>
  <si>
    <t xml:space="preserve">Р3 «Оперативный» отдельно: запуск раз в 1–8 ч, цикл должен укладываться в минуты; API ещё не определён — отдельный робот не задерживает сдачу Р1 и Р2.</t>
  </si>
  <si>
    <t xml:space="preserve">1в</t>
  </si>
  <si>
    <t xml:space="preserve">Вариант «1 робот на всё» отклонён: при запуске раз в час он тянул бы суточную и плановую логику, рос бы риск одновременного сбоя всех потоков и сложность сопровождения. Вариант «2 робота» (Р1+Р2 в одном) возможен при нехватке лицензий — экономия ~10–15% часов, но теряется независимость суточной загрузки.</t>
  </si>
  <si>
    <t xml:space="preserve">2</t>
  </si>
  <si>
    <t xml:space="preserve">Общие компоненты (модуль API, авторизация в ЦОМ, логирование, рассылка) разрабатываются в Р1 и переиспользуются в Р2–Р3 — поэтому у Р2–Р3 эти строки оценены ниже.</t>
  </si>
  <si>
    <t xml:space="preserve">Допущения</t>
  </si>
  <si>
    <t xml:space="preserve">3</t>
  </si>
  <si>
    <t xml:space="preserve">Данные вносятся роботом через web-интерфейс ИС ЦОМ (режим «Ввод данных»), т.к. прямой интеграции для блока 09-2/09 нет. Если в ЦОМ есть загрузка из xlsx — трудозатраты на внесение снижаются.</t>
  </si>
  <si>
    <t xml:space="preserve">4</t>
  </si>
  <si>
    <t xml:space="preserve">Для разработки предоставляется тестовый ЦОМ с разделами блока 09-2/09 и тестовый доступ к API портала ВСП (без тестовой среды разработка невозможна — озвучено на встрече).</t>
  </si>
  <si>
    <t xml:space="preserve">5</t>
  </si>
  <si>
    <t xml:space="preserve">Формат API — по Приложению 1 ТТ. Для Р3 методы не определены (будут после предпроектного обследования) — оценка Р3 предварительная, ±30%.</t>
  </si>
  <si>
    <t xml:space="preserve">6</t>
  </si>
  <si>
    <t xml:space="preserve">Мнемосхема — не более 50 показателей, энергетика — не более 10 показателей (со слов заказчика).</t>
  </si>
  <si>
    <t xml:space="preserve">7</t>
  </si>
  <si>
    <t xml:space="preserve">Механизм версий сетевого графика и БП (создание роботом новой версии vs внесение в версию, созданную действующей интеграцией) должен быть согласован с Горбуновым; в оценку заложен вариант «робот создаёт версию при изменении данных».</t>
  </si>
  <si>
    <t xml:space="preserve">8</t>
  </si>
  <si>
    <t xml:space="preserve">Витрины и строки блока 09-2/09 в ЦОМ (ТТ, раздел 6) дорабатывает подрядчик ЦОМ — в оценку робота не входит.</t>
  </si>
  <si>
    <t xml:space="preserve">9</t>
  </si>
  <si>
    <t xml:space="preserve">API: по перечню методов портала ВСП от 11.02.2026 (v0) методы блока collectsgVSP09209, collectbpVSP09209, collectfactVSP09209 готовы в версии API 1.1 (в 1.0 — NULL). Остальные данные — из общих методов ВСП (do=VSP) выборкой ключа VSP09209_BK; наличие ключа в их ответе v1.1 нужно подтвердить. Сервер робота должен иметь сетевой доступ к 192.168.45.100.</t>
  </si>
  <si>
    <t xml:space="preserve">10</t>
  </si>
  <si>
    <t xml:space="preserve">Не входят в оценку (по встрече не требуются для 09-2/09): сетевой график закачки (collectsgwaterVSP), природный газ (collect*gasVSP), сдача нефти (collectphdoilVSP, collectorderoilVSP, collectdeliveryoilVSP, collectqualityoilVSP). Если потребуются — +20–40 ч на каждую группу.</t>
  </si>
  <si>
    <t xml:space="preserve">Легенда</t>
  </si>
  <si>
    <t xml:space="preserve">Синий шрифт — вводимые вручную часы (можно корректировать); зелёный — ссылки на другие листы; «Автоматически» — расчёт по справочнику «Оценка сложности задач», в итог идёт столбец «Уточненно».</t>
  </si>
  <si>
    <t xml:space="preserve">Общие параметры проекта</t>
  </si>
  <si>
    <t xml:space="preserve"> Сбор требований для оценки затрат</t>
  </si>
  <si>
    <t xml:space="preserve">Вопрос</t>
  </si>
  <si>
    <t xml:space="preserve">Ответ</t>
  </si>
  <si>
    <t xml:space="preserve">Дополнительная информация</t>
  </si>
  <si>
    <t xml:space="preserve">Общие сведения</t>
  </si>
  <si>
    <t xml:space="preserve">1.1</t>
  </si>
  <si>
    <t xml:space="preserve">Наименование Заказчика</t>
  </si>
  <si>
    <t xml:space="preserve">Управление добычи (УД); СП «Вьетсовпетро»</t>
  </si>
  <si>
    <t xml:space="preserve">1.2</t>
  </si>
  <si>
    <t xml:space="preserve">Адрес Заказчика</t>
  </si>
  <si>
    <t xml:space="preserve">1.3</t>
  </si>
  <si>
    <t xml:space="preserve">Наименование процесса (процессов)</t>
  </si>
  <si>
    <t xml:space="preserve">Роботизация внесения данных Блока 09-2/09 из API портала ВСП в ИС ЦОМ (3 робота)</t>
  </si>
  <si>
    <t xml:space="preserve">Организационные вопросы</t>
  </si>
  <si>
    <t xml:space="preserve">1.1.</t>
  </si>
  <si>
    <t xml:space="preserve">Возможна ли разработка и сдача робота(ов) удаленно?</t>
  </si>
  <si>
    <t xml:space="preserve">Да</t>
  </si>
  <si>
    <t xml:space="preserve">Есть ли подробное описание процесса?</t>
  </si>
  <si>
    <t xml:space="preserve">Частично</t>
  </si>
  <si>
    <t xml:space="preserve">ТТ на доработку витрин и интеграцию Блока 09-2/09 (22.12.2025) + видеовстреча; по энергетике и мнемосхеме методы не определены</t>
  </si>
  <si>
    <t xml:space="preserve">Готов Заказчик показать подробно процесс через ВКС?</t>
  </si>
  <si>
    <t xml:space="preserve">Показ разделов ЦОМ проведён на встрече</t>
  </si>
  <si>
    <t xml:space="preserve">Готов ли Заказчик предоставить сейчас все входные данные, участвующие в процессе (шаблоны, образцы, наборы данных и пр.)? Если да, то какие?</t>
  </si>
  <si>
    <t xml:space="preserve">Форматы API — в Приложении 1 ТТ; тестовые данные/доступы — запросить у И. Журавлёва</t>
  </si>
  <si>
    <t xml:space="preserve">Есть ли требования к срокам разработки? Если да, то какие?</t>
  </si>
  <si>
    <t xml:space="preserve">Сроки у заказчика «поджимают»; оценка нужна в течение 1–2 недель</t>
  </si>
  <si>
    <t xml:space="preserve">1.4</t>
  </si>
  <si>
    <t xml:space="preserve">Есть ли особые требования к информационной безопасности? Если да, то какие?</t>
  </si>
  <si>
    <t xml:space="preserve">Нет</t>
  </si>
  <si>
    <t xml:space="preserve">Уточнить: доступы к API ВСП и УЗ робота в ЦОМ</t>
  </si>
  <si>
    <t xml:space="preserve">Требуется ли опытно-промышленная эксплуатация робота? Если да, то с каким сроком?</t>
  </si>
  <si>
    <t xml:space="preserve">Для Р2 — не менее одного месячного окна</t>
  </si>
  <si>
    <t xml:space="preserve">1.5</t>
  </si>
  <si>
    <t xml:space="preserve">Требуется ли авторская поддержка робота (доработка, консультации и пр.)? Не путать с гарантийной поддержкой робота и/или лицензионнной подержкой платформы</t>
  </si>
  <si>
    <t xml:space="preserve">Уточнить</t>
  </si>
  <si>
    <t xml:space="preserve">Параметры процесса</t>
  </si>
  <si>
    <t xml:space="preserve">2.1</t>
  </si>
  <si>
    <t xml:space="preserve">Есть ли необходимость работать с сайтом\приложением через API?</t>
  </si>
  <si>
    <t xml:space="preserve">GET-запросы к API портала ВСП, JSON</t>
  </si>
  <si>
    <t xml:space="preserve">2.2</t>
  </si>
  <si>
    <t xml:space="preserve">Присутствует ли при авторизации функционал распознавания Captcha?  Если да, то охарактерезуййте его сложность (буквы/цифры либо фото)</t>
  </si>
  <si>
    <t xml:space="preserve">2.3</t>
  </si>
  <si>
    <t xml:space="preserve">Требуется ли извлечение данных из изображений (сканов) документов? Если да, то ответьте на следующие вопросы:</t>
  </si>
  <si>
    <t xml:space="preserve">2.3.1</t>
  </si>
  <si>
    <t xml:space="preserve">Какие документы обрабатываются, сколько типов? (счета фактуры, паспорта, СНИЛС и тд)</t>
  </si>
  <si>
    <t xml:space="preserve">-</t>
  </si>
  <si>
    <t xml:space="preserve">2.3.2</t>
  </si>
  <si>
    <t xml:space="preserve">Документы попадают из одного источника? Если нет, нужна ли классификация документов?</t>
  </si>
  <si>
    <t xml:space="preserve">2.3.3</t>
  </si>
  <si>
    <t xml:space="preserve">Какие сущности необходимо извлекать из документов?</t>
  </si>
  <si>
    <t xml:space="preserve">2.3.4</t>
  </si>
  <si>
    <t xml:space="preserve">Предполагается ли ручная верификация распознанных документов? Если да, то коротко опишите состав верифицируемых данных</t>
  </si>
  <si>
    <t xml:space="preserve">2.3.5</t>
  </si>
  <si>
    <t xml:space="preserve">Нужна ли пакетная обработка документов (сверка данных между различными документами в пакете)? Если да, то коротко опишите виды сверяемых данных</t>
  </si>
  <si>
    <t xml:space="preserve">2.3.6</t>
  </si>
  <si>
    <t xml:space="preserve">Может ли клиент предоставить документы для анализа? (до 5 примеров каждого типа)</t>
  </si>
  <si>
    <t xml:space="preserve">2.3.7</t>
  </si>
  <si>
    <t xml:space="preserve">Документы какого качества попадают в обработку (сканы, фото, присылают по whatsapp и т.д.)?</t>
  </si>
  <si>
    <t xml:space="preserve">2.3.8</t>
  </si>
  <si>
    <t xml:space="preserve">Какой объем обрабатываемых документов (страниц  в месяц/год)</t>
  </si>
  <si>
    <t xml:space="preserve">2.4</t>
  </si>
  <si>
    <t xml:space="preserve">Есть ли в процессе действия работы с локальными прикладными системами (настольными приложениями)? Если да, то какие?</t>
  </si>
  <si>
    <t xml:space="preserve">2.5</t>
  </si>
  <si>
    <t xml:space="preserve">Необходима ли в процессе работа с почтой? Если да, то через какой интерфейс?</t>
  </si>
  <si>
    <t xml:space="preserve">Уведомления о работе/ошибках</t>
  </si>
  <si>
    <t xml:space="preserve">2.6</t>
  </si>
  <si>
    <t xml:space="preserve">Требуется работа с окнами RDP? Если да, требуется ли обмен инфомацией между основным и удаленным рабочим столом?</t>
  </si>
  <si>
    <t xml:space="preserve">Уточнить: робот работает с ЦОМ через браузер</t>
  </si>
  <si>
    <t xml:space="preserve">2.7</t>
  </si>
  <si>
    <t xml:space="preserve">Требуется ли в процессе применение технологий AI: классификация документов, распознавание именованных сущностей (например Дата, ФИО, адрес и пр.)? Если да, то какие?</t>
  </si>
  <si>
    <t xml:space="preserve">2.8</t>
  </si>
  <si>
    <t xml:space="preserve">Требуется ли в процессе chat-bot? Если да, то кратко изложите его функции</t>
  </si>
  <si>
    <t xml:space="preserve">2.9</t>
  </si>
  <si>
    <t xml:space="preserve">Используются в процессе базы данных? Если да, то какие?</t>
  </si>
  <si>
    <t xml:space="preserve">Прямой доступ к БД ЦОМ не предполагается</t>
  </si>
  <si>
    <t xml:space="preserve">2.10</t>
  </si>
  <si>
    <t xml:space="preserve">Используются в процессе офисные программы? Если да, то какие? ( MsOffice, Р7 офис, МойОфис, Google сервисы)</t>
  </si>
  <si>
    <t xml:space="preserve">Отчёт о работе робота (xlsx)</t>
  </si>
  <si>
    <t xml:space="preserve">2.11</t>
  </si>
  <si>
    <t xml:space="preserve">Нужно формировать отчет по результатам выполнения робота? Если да, какие основные данные этого отчета?</t>
  </si>
  <si>
    <t xml:space="preserve">Какие значения, в какую витрину/дату внесены; расхождения; созданные версии</t>
  </si>
  <si>
    <t xml:space="preserve">Документирование</t>
  </si>
  <si>
    <t xml:space="preserve">3.1</t>
  </si>
  <si>
    <t xml:space="preserve">Требуется ли программа и методика испытаний для сдачи робота?</t>
  </si>
  <si>
    <t xml:space="preserve">3.2</t>
  </si>
  <si>
    <t xml:space="preserve">Требуются ли другие проектные/технические/рабочие документы, кроме стандартной инструкции работы с роботом? Если да, то какие?</t>
  </si>
  <si>
    <t xml:space="preserve">Алгоритм работы роботов (отдельный документ)</t>
  </si>
  <si>
    <t xml:space="preserve">3.3</t>
  </si>
  <si>
    <t xml:space="preserve">Есть ли у Заказчика специальные требования (шаблоны) к технической документации?</t>
  </si>
  <si>
    <t xml:space="preserve">Оценка трудозатрат на настройку алгоритма робота (человеко-часов) — Р1 «Суточный» — оперативные данные закрытия суток (факт) по Блоку 09-2/09</t>
  </si>
  <si>
    <t xml:space="preserve">Наименование</t>
  </si>
  <si>
    <t xml:space="preserve">Тип задачи</t>
  </si>
  <si>
    <t xml:space="preserve">Сложность</t>
  </si>
  <si>
    <t xml:space="preserve">Оценка</t>
  </si>
  <si>
    <t xml:space="preserve">Автоматически</t>
  </si>
  <si>
    <t xml:space="preserve">Уточненно</t>
  </si>
  <si>
    <t xml:space="preserve">Аналитика разработчика: изучение ТТ и форматов API, разбор витрин закрытия ЦОМ, составление маппинга «поле API → ячейка витрины» (~60 полей)</t>
  </si>
  <si>
    <t xml:space="preserve">Настройка конфигурации робота: адреса и методы API, ключи VSP09209 / VSP09209_BK, маппинг полей, адресаты рассылки, контрольное время</t>
  </si>
  <si>
    <t xml:space="preserve">Настройка процесса</t>
  </si>
  <si>
    <t xml:space="preserve">Средняя</t>
  </si>
  <si>
    <t xml:space="preserve">Общий модуль подключения к API портала ВСП (http://192.168.45.100/api/1.1/): GET-запросы, авторизация, таймауты, повторные попытки при недоступности (переиспользуется Р2–Р3)</t>
  </si>
  <si>
    <t xml:space="preserve">REST/SOAP</t>
  </si>
  <si>
    <t xml:space="preserve">Запрос и разбор JSON по 5 методам факта (factOil, factLiquid, factWater, factPng, factToe): метод блока + 4 общих метода ВСП с выборкой ключа VSP09209_BK из ответа по всем месторождениям, сутки/месяц/год, NULL-значения, текстовые комментарии</t>
  </si>
  <si>
    <t xml:space="preserve">Сложная</t>
  </si>
  <si>
    <t xml:space="preserve">Валидация полученных данных: дата ответа = запрошенной, полнота обязательных полей, типы и точность (3 знака), логические проверки (месяц ≥ сутки, год ≥ месяц)</t>
  </si>
  <si>
    <t xml:space="preserve">Авторизация в ИС ЦОМ (web), переход Вьетнам → ПиТ → Закрытие, выбор отчётной даты, переход в режим «Ввод данных»</t>
  </si>
  <si>
    <t xml:space="preserve">Обработка web-страницы</t>
  </si>
  <si>
    <t xml:space="preserve">Легкая</t>
  </si>
  <si>
    <t xml:space="preserve">Внесение данных по нефти: факт сутки/месяц/год, обводнённость H2O (сут./год), температура, комментарий к отклонениям — 2 строки блока; сохранение</t>
  </si>
  <si>
    <t xml:space="preserve">Внесение данных по жидкости (факт сутки/месяц/год, комментарий), сохранение</t>
  </si>
  <si>
    <t xml:space="preserve">Внесение данных по закачке для ППД (сейчас факта нет — при NULL строка пропускается без ошибки), сохранение</t>
  </si>
  <si>
    <t xml:space="preserve">Внесение данных по ПНГ: факт сутки/месяц/год + показатели качества газа (точка росы, H2S, RSH, мех. примеси — норма/факт), комментарий</t>
  </si>
  <si>
    <t xml:space="preserve">11</t>
  </si>
  <si>
    <t xml:space="preserve">Внесение/сверка данных ТНЭ (часть показателей расчётная в ЦОМ — вносятся только входные ячейки, расчётные сверяются с API)</t>
  </si>
  <si>
    <t xml:space="preserve">12</t>
  </si>
  <si>
    <t xml:space="preserve">Контроль внесения: повторное чтение сохранённых ячеек витрин и сверка с данными API, фиксация расхождений</t>
  </si>
  <si>
    <t xml:space="preserve">13</t>
  </si>
  <si>
    <t xml:space="preserve">Режим догрузки: ручной запуск за произвольную дату/набор показателей (сценарий 2 ТТ), перезапись при корректировке данных ВСП</t>
  </si>
  <si>
    <t xml:space="preserve">14</t>
  </si>
  <si>
    <t xml:space="preserve">Повторные попытки при отсутствии данных (NULL / API недоступен) до контрольного времени, эскалация ответственному</t>
  </si>
  <si>
    <t xml:space="preserve">15</t>
  </si>
  <si>
    <t xml:space="preserve">Формирование отчёта о работе (xlsx: какие значения, куда и когда внесены)</t>
  </si>
  <si>
    <t xml:space="preserve">Office App</t>
  </si>
  <si>
    <t xml:space="preserve">16</t>
  </si>
  <si>
    <t xml:space="preserve">Направление писем о работе и ошибках по почте</t>
  </si>
  <si>
    <t xml:space="preserve">Почта/Outlook</t>
  </si>
  <si>
    <t xml:space="preserve">17</t>
  </si>
  <si>
    <t xml:space="preserve">Обработка исключений, логирование, скриншоты ошибок web-интерфейса</t>
  </si>
  <si>
    <t xml:space="preserve">18</t>
  </si>
  <si>
    <t xml:space="preserve">Хотелки заказчика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</si>
  <si>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</si>
  <si>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</si>
  <si>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</si>
  <si>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</si>
  <si>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</si>
  <si>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</si>
  <si>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</si>
  <si>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</si>
  <si>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</si>
  <si>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</si>
  <si>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</si>
  <si>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</si>
  <si>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</si>
  <si>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</si>
  <si>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</si>
  <si>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</si>
  <si>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</si>
  <si>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</si>
  <si>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</si>
  <si>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</si>
  <si>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</si>
  <si>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</si>
  <si>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</si>
  <si>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</si>
  <si>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</si>
  <si>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</si>
  <si>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</si>
  <si>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</si>
  <si>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</si>
  <si>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ИТОГО:</t>
  </si>
  <si>
    <t xml:space="preserve">Расчет стоимости разработки и внедрения программного робота на процесс: Р1 «Суточный» — оперативные данные закрытия суток (факт) по Блоку 09-2/09</t>
  </si>
  <si>
    <t xml:space="preserve">Средняя ставка руб./чел-час*</t>
  </si>
  <si>
    <t xml:space="preserve">Наименование работ</t>
  </si>
  <si>
    <t xml:space="preserve">Состав работ</t>
  </si>
  <si>
    <t xml:space="preserve">Трудозатраты, чел-час</t>
  </si>
  <si>
    <t xml:space="preserve">Стоимость работ, руб. без НДС</t>
  </si>
  <si>
    <t xml:space="preserve">Разработка и согласование ЧТЗ на программного робота</t>
  </si>
  <si>
    <t xml:space="preserve">Уточнение требований к роботизации процесса с владельцем процесса</t>
  </si>
  <si>
    <t xml:space="preserve">Настройка алгоритма программного робота.
</t>
  </si>
  <si>
    <t xml:space="preserve">Настройка алгоритма программного робота на стенде разработки и тестирования по шагам процесса:</t>
  </si>
  <si>
    <t xml:space="preserve">Настройка программного робота на продуктовом стенде, с отработкой взаимодействия с участвующими системами в постоянной (промышленной) эксплуатации</t>
  </si>
  <si>
    <t xml:space="preserve">Подготовка программного робота к опытно-промышленной эксплуатации (ОПЭ)</t>
  </si>
  <si>
    <t xml:space="preserve">Разработка эксплуатационной документации</t>
  </si>
  <si>
    <t xml:space="preserve">Разработка программы и методики испытаний для сдачи в ОПЭ</t>
  </si>
  <si>
    <t xml:space="preserve">Опытно-промышленная эксплуатация и сдача в постоянную эксплуатацию программного робота</t>
  </si>
  <si>
    <t xml:space="preserve">Консультационная поддержка пользователей программного робота в период ОПЭ</t>
  </si>
  <si>
    <t xml:space="preserve">Устранение неисправностей программного робота выявленных в результате ОПЭ</t>
  </si>
  <si>
    <t xml:space="preserve">Проведение приемо-сдаточных испытаний для сдачи в постоянную (промышленную) эксплуатацию</t>
  </si>
  <si>
    <t xml:space="preserve">Итого, чел-час:</t>
  </si>
  <si>
    <t xml:space="preserve">Итого стоимость работ по процессу:</t>
  </si>
  <si>
    <t xml:space="preserve">Итого с НДС 22%</t>
  </si>
  <si>
    <t xml:space="preserve">Оценка трудозатрат на настройку алгоритма робота (человеко-часов) — Р2 «Плановый» — Сетевой график и План-заявка ПНГ (месяц), Бизнес-план и ПХД ПНГ (год)</t>
  </si>
  <si>
    <t xml:space="preserve">Аналитика разработчика: 7 плановых витрин, механизм версий СГ и БП, взаимодействие с действующей интеграцией по другим блокам</t>
  </si>
  <si>
    <t xml:space="preserve">Настройка конфигурации: календарь окон (месяц / год / квартал), маппинг, адресаты — на базе Р1</t>
  </si>
  <si>
    <t xml:space="preserve">Подключение модуля API из Р1</t>
  </si>
  <si>
    <t xml:space="preserve">Запрос и разбор месячных данных sgOil, orderPng: 31 значение, учёт числа дней в месяце, NULL</t>
  </si>
  <si>
    <t xml:space="preserve">Запрос и разбор годовых данных bpOil, bpLiquid, bpWater, bpToe, phdPng: по 12 месячных значений</t>
  </si>
  <si>
    <t xml:space="preserve">Диспетчер окон: какие наборы проверять сегодня, определение планового месяца/года, предварительная и окончательная версия</t>
  </si>
  <si>
    <t xml:space="preserve">Хранилище «снимков» загруженных данных (единое для 7 наборов), поэлементное сравнение, решение: первичная загрузка / без изменений / новая версия</t>
  </si>
  <si>
    <t xml:space="preserve">Навигация в ЦОМ: Планирование → вкладка (Нефть/Жидкость/Закачка/ПНГ/ТНЭ) → вид плана, выбор периода и актуальной версии (общий модуль для 7 витрин)</t>
  </si>
  <si>
    <t xml:space="preserve">Создание новой версии («Добавить версию») для СГ / План-заявки / БП, проверка, что версия создана и актуальна</t>
  </si>
  <si>
    <t xml:space="preserve">Внесение 31 значения в столбец «Блок 09-2/09» сетевого графика нефти, сохранение</t>
  </si>
  <si>
    <t xml:space="preserve">Внесение План-заявки ПНГ (31 значение), сохранение</t>
  </si>
  <si>
    <t xml:space="preserve">Внесение 12 месячных значений в 5 витрин БП/ПХД, сохранение</t>
  </si>
  <si>
    <t xml:space="preserve">Контроль внесения: повторное чтение, сверка с API</t>
  </si>
  <si>
    <t xml:space="preserve">Согласование с действующей интеграцией: не затирать данные других блоков, работа с версией, созданной интеграцией (правило уточняется с Горбуновым)</t>
  </si>
  <si>
    <t xml:space="preserve">Формирование отчёта о работе</t>
  </si>
  <si>
    <t xml:space="preserve">Письма: о работе, об ошибках, уведомление «создана новая версия СГ/БП»</t>
  </si>
  <si>
    <t xml:space="preserve">Обработка исключений, логирование</t>
  </si>
  <si>
    <t xml:space="preserve">Расчет стоимости разработки и внедрения программного робота на процесс: Р2 «Плановый» — Сетевой график и План-заявка ПНГ (месяц), Бизнес-план и ПХД ПНГ (год)</t>
  </si>
  <si>
    <t xml:space="preserve">Оценка трудозатрат на настройку алгоритма робота (человеко-часов) — Р3 «Оперативный» — показатели мнемосхемы Блока 09-2/09 и энергетика (несколько раз в сутки)</t>
  </si>
  <si>
    <t xml:space="preserve">Аналитика разработчика: разбор новой таблицы мнемосхемы и раздела энергетики, описание API после обследования</t>
  </si>
  <si>
    <t xml:space="preserve">Справочник соответствия «показатель API → строка таблицы мнемосхемы / энергетики» (до 60 строк), вынесен в настраиваемый файл</t>
  </si>
  <si>
    <t xml:space="preserve">Запрос и разбор данных мнемосхемы (до 50 показателей, метки времени) — формат API не определён</t>
  </si>
  <si>
    <t xml:space="preserve">Запрос и разбор данных энергетики (до 10 показателей)</t>
  </si>
  <si>
    <t xml:space="preserve">Валидация: актуальность метки времени, допустимые диапазоны, NULL</t>
  </si>
  <si>
    <t xml:space="preserve">Навигация в ЦОМ: страница блока 09-2/09 → вкладка «Схема» → табличная часть, выбор даты и среза (интервала)</t>
  </si>
  <si>
    <t xml:space="preserve">Внесение до 50 значений в табличную часть мнемосхемы, сохранение</t>
  </si>
  <si>
    <t xml:space="preserve">Навигация и внесение показателей энергетики (Инфраструктура → вводные данные / суточная сводка)</t>
  </si>
  <si>
    <t xml:space="preserve">Контроль внесения: сверка с API</t>
  </si>
  <si>
    <t xml:space="preserve">Защита от параллельных запусков, контроль длительности цикла (&lt; 15 мин), догрузка пропущенных интервалов</t>
  </si>
  <si>
    <t xml:space="preserve">Сводный отчёт о работе за сутки (вместо отчёта на каждый запуск)</t>
  </si>
  <si>
    <t xml:space="preserve">Письма только при ошибках / пропуске интервала</t>
  </si>
  <si>
    <t xml:space="preserve">Расчет стоимости разработки и внедрения программного робота на процесс: Р3 «Оперативный» — показатели мнемосхемы Блока 09-2/09 и энергетика (несколько раз в сутки)</t>
  </si>
  <si>
    <t xml:space="preserve">Объяснение</t>
  </si>
  <si>
    <t xml:space="preserve">Оценка аналитика</t>
  </si>
  <si>
    <t xml:space="preserve">Оценка разработчика</t>
  </si>
  <si>
    <t xml:space="preserve">Оценка тестирования</t>
  </si>
  <si>
    <t xml:space="preserve">Итоговая оценка</t>
  </si>
  <si>
    <t xml:space="preserve">А</t>
  </si>
  <si>
    <t xml:space="preserve">Р</t>
  </si>
  <si>
    <t xml:space="preserve">Т</t>
  </si>
  <si>
    <t xml:space="preserve">Дополнительный комментарий</t>
  </si>
  <si>
    <t xml:space="preserve">запуск или завершение процесса, релизация цикла опроцесса, вывод сообщений в модальном окне
Базовые действия, Конвертация дат, Диалоговые окна, ОС, Процессы</t>
  </si>
  <si>
    <t xml:space="preserve">Здесь сложность может корректироваться доп. Часами зависит от сложности задачи, которую необходимо решить </t>
  </si>
  <si>
    <t xml:space="preserve">исполнение команд / скриптов, настройка процесса обработки ошибок простого или среднего уровня сложности 
настройка алгоритма, подразумевающего работу с ресурсом "зашифрованная строка" и включающего обработку возможных ошибок </t>
  </si>
  <si>
    <t xml:space="preserve">исполнение скриптов с получением результата, настройка процесса обработки ошибок и алгоритмов, высокой сложности 
настройка алгоритма, подразумевающего работу с ресурсом "библиотека/скрипт", включающего обработку возможных ошибок и проверку входных данных на соответствие ожидаемым (типы данных)</t>
  </si>
  <si>
    <t xml:space="preserve">переходы по странице, авторизация
1) «открыть браузер» и/или «перейти по URL» и/или «закрыть браузер» и/или «получить URL»
ИЛИ/И
2) Любые действия, для которых необходимо получать Xpath, - от 1-3 действий в одном шаге процесса
И
3) Работа в Google Chrome</t>
  </si>
  <si>
    <t xml:space="preserve">использование xpath
любой браузер, изменяющиеся xpath
2) Любые действия, для которых необходимо получать Xpath, - от 4 до 8 действий в одном шаге процесса</t>
  </si>
  <si>
    <t xml:space="preserve">Действия, в которых из-за особенностей кода Web-страниц приходится прописывать корректный Xpath вручную можно отнести к среднему или сложному уровню сложности в зависимости от кол-ва таких действий на одном шаге процесса. Но, как правило, на этапе оценки еще не известны такие подробности устройства web-страниц. Поэтому оценивать сложность шагов процесса по обработке web-страниц в зависимости от Xpath практически невозможно</t>
  </si>
  <si>
    <t xml:space="preserve">xpath с использованием переменных студии, обработка фреймов, данные из таблиц
1) Любые действия, для которых необходимо получать Xpath, - от 8 и более действий в одном шаге процесса
2) Необходимо проверять доступность/наличие (например, если система долго обновляет страницу) нужных полей/кнопок или, заполнены ли некоторые поля нужными данными – от 3х и более проверок
И 
3) Работа в Google Chrome или Internet Explorer </t>
  </si>
  <si>
    <t xml:space="preserve">Обработка ЭФ</t>
  </si>
  <si>
    <t xml:space="preserve">работа с экранной формой, которая содержит не более 5 полей для взаимодействия</t>
  </si>
  <si>
    <t xml:space="preserve">работа с экранной формой, которая содержит от 6 до 10 полей для взаимодействия</t>
  </si>
  <si>
    <t xml:space="preserve">работа с экранной формой, котрая содержит более 10 полей для взаимодействия</t>
  </si>
  <si>
    <t xml:space="preserve">Vision / OCR</t>
  </si>
  <si>
    <t xml:space="preserve">поиск изображения</t>
  </si>
  <si>
    <t xml:space="preserve">распознование текста с изображения/pdf </t>
  </si>
  <si>
    <t xml:space="preserve">распознование текста по шаблону</t>
  </si>
  <si>
    <t xml:space="preserve">заполнение ячеек, копирование данных из ячеек|запись, чтение в файл</t>
  </si>
  <si>
    <t xml:space="preserve">работа с таблицами, работа с фильтрами, использование горячих клавиш, изменение структуры файла/фильтрация для Excel</t>
  </si>
  <si>
    <t xml:space="preserve">макросы, работа с областями таблицы, работа с формулами</t>
  </si>
  <si>
    <t xml:space="preserve">Файлы/Папки/FTP</t>
  </si>
  <si>
    <t xml:space="preserve">поиск файла, пути до файлов, работа с папками: копирование/удаление/перемещение и т.д.</t>
  </si>
  <si>
    <t xml:space="preserve">работа с многочисленными файлами в циклах</t>
  </si>
  <si>
    <t xml:space="preserve">ftp</t>
  </si>
  <si>
    <t xml:space="preserve">1) «Настройка подключения» + «отправка» и/или + «получение» с 1-3 заполненными пунктами в параметрах 
ИЛИ
2) Outlook: «получить» и/или «отправить»/ «ответить» с 1-3 заполненными пунктами в параметрах
</t>
  </si>
  <si>
    <t xml:space="preserve">1) «Настройка подключения» + «отправка» и/или + «получение» с 4 и более заполненными пунктами в параметрах. Некоторые пункты могут быть заполнены переменными 
ИЛИ
2) Outlook: «получить» и/или «отправить»/ «ответить» с 4 и более заполненными пунктами в параметрах. Некоторые пункты могут быть заполнены переменными
3) Форматирование текста письма при пощи html тегов</t>
  </si>
  <si>
    <t xml:space="preserve">1) «Настройка подключения» + «отправка» и/или + «получение»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ИЛИ
2) Outlook: «получить» и/или «отправить»/ «ответить» с 4 и более заполненными пунктами в параметрах. Большинство пунктов указаны через переменные и/или текст письма большой и/или записан через большое кол-во переменных
3) Форматирование текста письма при пощи html тегов</t>
  </si>
  <si>
    <t xml:space="preserve">Классификатор</t>
  </si>
  <si>
    <t xml:space="preserve">обучение классификатора на 2 категориях текстов</t>
  </si>
  <si>
    <t xml:space="preserve">обучение классификатора на 3 - 5 категорий</t>
  </si>
  <si>
    <t xml:space="preserve">обучение классификатора на более 5 категорий</t>
  </si>
  <si>
    <t xml:space="preserve">Обработка текста</t>
  </si>
  <si>
    <t xml:space="preserve">написание регулярных выражений простой сложности</t>
  </si>
  <si>
    <t xml:space="preserve">NER, Данные из таблицы, Работа с текстом</t>
  </si>
  <si>
    <t xml:space="preserve">написание регулярных выражений средней сложности</t>
  </si>
  <si>
    <t xml:space="preserve">написание регулярных выражений высокой  сложности</t>
  </si>
  <si>
    <t xml:space="preserve">Flexi Capture/Yandex OCR</t>
  </si>
  <si>
    <t xml:space="preserve">Flexi Capture</t>
  </si>
  <si>
    <t xml:space="preserve">написание простых запросов</t>
  </si>
  <si>
    <t xml:space="preserve">Написание запросов средней сложности </t>
  </si>
  <si>
    <t xml:space="preserve">Сложные запросы</t>
  </si>
  <si>
    <t xml:space="preserve">Интеграции</t>
  </si>
  <si>
    <t xml:space="preserve">Базы данных</t>
  </si>
  <si>
    <t xml:space="preserve">написание сложных запросов</t>
  </si>
  <si>
    <t xml:space="preserve">написание сложных запросов+ работа с СУБД</t>
  </si>
  <si>
    <t xml:space="preserve">Оркестрация</t>
  </si>
  <si>
    <t xml:space="preserve">Настройка процессов </t>
  </si>
  <si>
    <t xml:space="preserve">Настройка AD</t>
  </si>
  <si>
    <t xml:space="preserve">Примечание</t>
  </si>
  <si>
    <t xml:space="preserve">Контейнеры на странице разметки всегда используются стандартные. Их изменение мы пока не делали, сложность не знаем.</t>
  </si>
  <si>
    <t xml:space="preserve">Все измеряется в часах</t>
  </si>
  <si>
    <t xml:space="preserve">Предполагается, что команды работают по скраму и минимум час в день уходит на Scrum активности.</t>
  </si>
  <si>
    <t xml:space="preserve"> </t>
  </si>
  <si>
    <t xml:space="preserve">Сложности</t>
  </si>
  <si>
    <t xml:space="preserve">Оркестратор</t>
  </si>
  <si>
    <t xml:space="preserve">Нельзя оценить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</si>
</sst>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#,##0"/>
    <numFmt numFmtId="166" formatCode="#,##0.00"/>
    <numFmt numFmtId="167" formatCode="@"/>
    <numFmt numFmtId="168" formatCode="General"/>
    <numFmt numFmtId="169" formatCode="#,##0.00&quot; RUB&quot;"/>
    <numFmt numFmtId="170" formatCode="0%"/>
  </numFmts>
  <fonts count="22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color theme="1"/>
      <name val="Times New Roman"/>
      <family val="2"/>
      <charset val="204"/>
    </font>
    <font>
      <b val="true"/>
      <sz val="13"/>
      <name val="Times New Roman"/>
      <family val="0"/>
      <charset val="1"/>
    </font>
    <font>
      <i val="true"/>
      <sz val="11"/>
      <name val="Times New Roman"/>
      <family val="0"/>
      <charset val="1"/>
    </font>
    <font>
      <b val="true"/>
      <sz val="11"/>
      <name val="Times New Roman"/>
      <family val="0"/>
      <charset val="1"/>
    </font>
    <font>
      <sz val="11"/>
      <name val="Times New Roman"/>
      <family val="0"/>
      <charset val="1"/>
    </font>
    <font>
      <sz val="11"/>
      <color rgb="FF008000"/>
      <name val="Times New Roman"/>
      <family val="0"/>
      <charset val="1"/>
    </font>
    <font>
      <b val="true"/>
      <sz val="14"/>
      <color theme="1"/>
      <name val="Calibri"/>
      <family val="2"/>
      <charset val="204"/>
    </font>
    <font>
      <b val="true"/>
      <sz val="11"/>
      <color theme="1"/>
      <name val="Calibri"/>
      <family val="2"/>
      <charset val="204"/>
    </font>
    <font>
      <sz val="11"/>
      <color rgb="FF0000FF"/>
      <name val="Calibri"/>
      <family val="0"/>
      <charset val="1"/>
    </font>
    <font>
      <sz val="11"/>
      <color theme="1"/>
      <name val="Times New Roman"/>
      <family val="1"/>
      <charset val="204"/>
    </font>
    <font>
      <b val="true"/>
      <sz val="11"/>
      <color theme="1"/>
      <name val="Times New Roman"/>
      <family val="1"/>
      <charset val="204"/>
    </font>
    <font>
      <i val="true"/>
      <sz val="11"/>
      <color theme="1"/>
      <name val="Times New Roman"/>
      <family val="1"/>
      <charset val="204"/>
    </font>
    <font>
      <b val="true"/>
      <i val="true"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color rgb="FF0000FF"/>
      <name val="Times New Roman"/>
      <family val="0"/>
      <charset val="1"/>
    </font>
    <font>
      <sz val="11"/>
      <color rgb="FF008000"/>
      <name val="Calibri"/>
      <family val="0"/>
      <charset val="1"/>
    </font>
    <font>
      <b val="true"/>
      <sz val="11"/>
      <color rgb="FFFF0000"/>
      <name val="Times New Roman"/>
      <family val="1"/>
      <charset val="204"/>
    </font>
    <font>
      <sz val="12"/>
      <color theme="1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D9E1F2"/>
        <bgColor rgb="FFD6DCE5"/>
      </patternFill>
    </fill>
    <fill>
      <patternFill patternType="solid">
        <fgColor theme="0"/>
        <bgColor rgb="FFF2F2F2"/>
      </patternFill>
    </fill>
    <fill>
      <patternFill patternType="solid">
        <fgColor theme="9" tint="0.7999"/>
        <bgColor rgb="FFDEEBF7"/>
      </patternFill>
    </fill>
    <fill>
      <patternFill patternType="solid">
        <fgColor theme="0" tint="-0.05"/>
        <bgColor rgb="FFE2F0D9"/>
      </patternFill>
    </fill>
    <fill>
      <patternFill patternType="solid">
        <fgColor theme="4" tint="0.7999"/>
        <bgColor rgb="FFD9E1F2"/>
      </patternFill>
    </fill>
    <fill>
      <patternFill patternType="solid">
        <fgColor theme="2" tint="-0.1"/>
        <bgColor rgb="FFD9D9D9"/>
      </patternFill>
    </fill>
    <fill>
      <patternFill patternType="solid">
        <fgColor theme="0" tint="-0.15"/>
        <bgColor rgb="FFD6DCE5"/>
      </patternFill>
    </fill>
    <fill>
      <patternFill patternType="solid">
        <fgColor theme="3" tint="0.7999"/>
        <bgColor rgb="FFD9D9D9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ck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6" fontId="9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10" fillId="0" borderId="0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1" fillId="3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1" fillId="4" borderId="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2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3" borderId="1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7" fontId="0" fillId="0" borderId="1" xfId="2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1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1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7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0" fillId="4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0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3" borderId="1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8" fontId="11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3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6" fontId="1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5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6" fillId="0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6" fillId="0" borderId="3" xfId="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17" fillId="0" borderId="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6" fontId="17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6" fontId="16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18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13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8" fontId="19" fillId="3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left" vertical="top" textRotation="0" wrapText="true" indent="1" shrinkToFit="false"/>
      <protection locked="true" hidden="false"/>
    </xf>
    <xf numFmtId="165" fontId="13" fillId="0" borderId="6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3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14" fillId="0" borderId="1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6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right" vertical="top" textRotation="0" wrapText="true" indent="0" shrinkToFit="false"/>
      <protection locked="true" hidden="false"/>
    </xf>
    <xf numFmtId="165" fontId="14" fillId="0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7" fontId="2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0" borderId="11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3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1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6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1" fillId="7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2" xfId="20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EEBF7"/>
      <rgbColor rgb="FF660066"/>
      <rgbColor rgb="FFFF8080"/>
      <rgbColor rgb="FF0066CC"/>
      <rgbColor rgb="FFD6DC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E1F2"/>
      <rgbColor rgb="FFE2F0D9"/>
      <rgbColor rgb="FFFFFF99"/>
      <rgbColor rgb="FFD9D9D9"/>
      <rgbColor rgb="FFFF99CC"/>
      <rgbColor rgb="FFCC99FF"/>
      <rgbColor rgb="FFD0CE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40"/>
    <col collapsed="false" customWidth="true" hidden="false" outlineLevel="0" max="3" min="3" style="0" width="38"/>
    <col collapsed="false" customWidth="true" hidden="false" outlineLevel="0" max="5" min="4" style="0" width="40"/>
    <col collapsed="false" customWidth="true" hidden="false" outlineLevel="0" max="7" min="6" style="0" width="13"/>
    <col collapsed="false" customWidth="true" hidden="false" outlineLevel="0" max="9" min="8" style="0" width="16"/>
    <col collapsed="false" customWidth="true" hidden="false" outlineLevel="0" max="10" min="10" style="0" width="10"/>
  </cols>
  <sheetData>
    <row r="1" customFormat="false" ht="16.15" hidden="false" customHeight="false" outlineLevel="0" collapsed="false">
      <c r="A1" s="1" t="s">
        <v>0</v>
      </c>
    </row>
    <row r="2" customFormat="false" ht="15" hidden="false" customHeight="false" outlineLevel="0" collapsed="false">
      <c r="A2" s="2" t="s">
        <v>1</v>
      </c>
    </row>
    <row r="4" customFormat="false" ht="37.3" hidden="false" customHeight="false" outlineLevel="0" collapsed="false">
      <c r="A4" s="3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3" t="s">
        <v>10</v>
      </c>
      <c r="J4" s="3" t="s">
        <v>11</v>
      </c>
    </row>
    <row r="5" customFormat="false" ht="73.1" hidden="false" customHeight="false" outlineLevel="0" collapsed="false">
      <c r="A5" s="4" t="n">
        <v>1</v>
      </c>
      <c r="B5" s="4" t="s">
        <v>12</v>
      </c>
      <c r="C5" s="4" t="s">
        <v>13</v>
      </c>
      <c r="D5" s="4" t="s">
        <v>14</v>
      </c>
      <c r="E5" s="4" t="s">
        <v>15</v>
      </c>
      <c r="F5" s="5" t="n">
        <f aca="false">'Настройка Р1'!F51</f>
        <v>190</v>
      </c>
      <c r="G5" s="5" t="n">
        <f aca="false">'Оценка Р1'!I39</f>
        <v>296</v>
      </c>
      <c r="H5" s="6" t="n">
        <f aca="false">'Оценка Р1'!F40</f>
        <v>1048130.08</v>
      </c>
      <c r="I5" s="6" t="n">
        <f aca="false">'Оценка Р1'!F41</f>
        <v>1278718.6976</v>
      </c>
      <c r="J5" s="5" t="n">
        <f aca="false">'Оценка Р1'!G40</f>
        <v>55</v>
      </c>
    </row>
    <row r="6" customFormat="false" ht="73.1" hidden="false" customHeight="false" outlineLevel="0" collapsed="false">
      <c r="A6" s="4" t="n">
        <v>2</v>
      </c>
      <c r="B6" s="4" t="s">
        <v>16</v>
      </c>
      <c r="C6" s="4" t="s">
        <v>17</v>
      </c>
      <c r="D6" s="4" t="s">
        <v>18</v>
      </c>
      <c r="E6" s="4" t="s">
        <v>19</v>
      </c>
      <c r="F6" s="5" t="n">
        <f aca="false">'Настройка Р2'!F51</f>
        <v>200</v>
      </c>
      <c r="G6" s="5" t="n">
        <f aca="false">'Оценка Р2'!I39</f>
        <v>294</v>
      </c>
      <c r="H6" s="6" t="n">
        <f aca="false">'Оценка Р2'!F40</f>
        <v>1041048.12</v>
      </c>
      <c r="I6" s="6" t="n">
        <f aca="false">'Оценка Р2'!F41</f>
        <v>1270078.7064</v>
      </c>
      <c r="J6" s="5" t="n">
        <f aca="false">'Оценка Р2'!G40</f>
        <v>52</v>
      </c>
    </row>
    <row r="7" customFormat="false" ht="49.25" hidden="false" customHeight="false" outlineLevel="0" collapsed="false">
      <c r="A7" s="4" t="n">
        <v>3</v>
      </c>
      <c r="B7" s="4" t="s">
        <v>20</v>
      </c>
      <c r="C7" s="4" t="s">
        <v>21</v>
      </c>
      <c r="D7" s="4" t="s">
        <v>22</v>
      </c>
      <c r="E7" s="4" t="s">
        <v>23</v>
      </c>
      <c r="F7" s="5" t="n">
        <f aca="false">'Настройка Р3'!F51</f>
        <v>160</v>
      </c>
      <c r="G7" s="5" t="n">
        <f aca="false">'Оценка Р3'!I39</f>
        <v>258</v>
      </c>
      <c r="H7" s="6" t="n">
        <f aca="false">'Оценка Р3'!F40</f>
        <v>913572.84</v>
      </c>
      <c r="I7" s="6" t="n">
        <f aca="false">'Оценка Р3'!F41</f>
        <v>1114558.8648</v>
      </c>
      <c r="J7" s="5" t="n">
        <f aca="false">'Оценка Р3'!G40</f>
        <v>48</v>
      </c>
    </row>
    <row r="8" customFormat="false" ht="15" hidden="false" customHeight="false" outlineLevel="0" collapsed="false">
      <c r="A8" s="7"/>
      <c r="B8" s="8" t="s">
        <v>24</v>
      </c>
      <c r="C8" s="7"/>
      <c r="D8" s="7"/>
      <c r="E8" s="7"/>
      <c r="F8" s="9" t="n">
        <f aca="false">SUM(F5:F7)</f>
        <v>550</v>
      </c>
      <c r="G8" s="9" t="n">
        <f aca="false">SUM(G5:G7)</f>
        <v>848</v>
      </c>
      <c r="H8" s="10" t="n">
        <f aca="false">SUM(H5:H7)</f>
        <v>3002751.04</v>
      </c>
      <c r="I8" s="10" t="n">
        <f aca="false">SUM(I5:I7)</f>
        <v>3663356.2688</v>
      </c>
      <c r="J8" s="9" t="n">
        <f aca="false">SUM(J5:J7)</f>
        <v>155</v>
      </c>
    </row>
    <row r="9" customFormat="false" ht="15" hidden="false" customHeight="false" outlineLevel="0" collapsed="false">
      <c r="B9" s="2" t="s">
        <v>25</v>
      </c>
      <c r="H9" s="11" t="n">
        <f aca="false">'Оценка Р1'!F4</f>
        <v>3540.98</v>
      </c>
    </row>
    <row r="10" customFormat="false" ht="15" hidden="false" customHeight="false" outlineLevel="0" collapsed="false">
      <c r="B10" s="2" t="s">
        <v>26</v>
      </c>
    </row>
    <row r="12" customFormat="false" ht="15" hidden="false" customHeight="false" outlineLevel="0" collapsed="false">
      <c r="A12" s="12" t="s">
        <v>27</v>
      </c>
    </row>
    <row r="13" customFormat="false" ht="31.5" hidden="false" customHeight="true" outlineLevel="0" collapsed="false">
      <c r="A13" s="13" t="s">
        <v>28</v>
      </c>
      <c r="B13" s="14" t="s">
        <v>29</v>
      </c>
      <c r="C13" s="14"/>
      <c r="D13" s="14"/>
      <c r="E13" s="14"/>
      <c r="F13" s="14"/>
      <c r="G13" s="14"/>
      <c r="H13" s="14"/>
      <c r="I13" s="14"/>
      <c r="J13" s="14"/>
    </row>
    <row r="14" customFormat="false" ht="31.5" hidden="false" customHeight="true" outlineLevel="0" collapsed="false">
      <c r="A14" s="13" t="s">
        <v>30</v>
      </c>
      <c r="B14" s="14" t="s">
        <v>31</v>
      </c>
      <c r="C14" s="14"/>
      <c r="D14" s="14"/>
      <c r="E14" s="14"/>
      <c r="F14" s="14"/>
      <c r="G14" s="14"/>
      <c r="H14" s="14"/>
      <c r="I14" s="14"/>
      <c r="J14" s="14"/>
    </row>
    <row r="15" customFormat="false" ht="31.5" hidden="false" customHeight="true" outlineLevel="0" collapsed="false">
      <c r="A15" s="13" t="s">
        <v>32</v>
      </c>
      <c r="B15" s="14" t="s">
        <v>33</v>
      </c>
      <c r="C15" s="14"/>
      <c r="D15" s="14"/>
      <c r="E15" s="14"/>
      <c r="F15" s="14"/>
      <c r="G15" s="14"/>
      <c r="H15" s="14"/>
      <c r="I15" s="14"/>
      <c r="J15" s="14"/>
    </row>
    <row r="16" customFormat="false" ht="31.5" hidden="false" customHeight="true" outlineLevel="0" collapsed="false">
      <c r="A16" s="13" t="s">
        <v>34</v>
      </c>
      <c r="B16" s="14" t="s">
        <v>35</v>
      </c>
      <c r="C16" s="14"/>
      <c r="D16" s="14"/>
      <c r="E16" s="14"/>
      <c r="F16" s="14"/>
      <c r="G16" s="14"/>
      <c r="H16" s="14"/>
      <c r="I16" s="14"/>
      <c r="J16" s="14"/>
    </row>
    <row r="17" customFormat="false" ht="31.5" hidden="false" customHeight="true" outlineLevel="0" collapsed="false">
      <c r="A17" s="13" t="s">
        <v>36</v>
      </c>
      <c r="B17" s="14" t="s">
        <v>37</v>
      </c>
      <c r="C17" s="14"/>
      <c r="D17" s="14"/>
      <c r="E17" s="14"/>
      <c r="F17" s="14"/>
      <c r="G17" s="14"/>
      <c r="H17" s="14"/>
      <c r="I17" s="14"/>
      <c r="J17" s="14"/>
    </row>
    <row r="18" customFormat="false" ht="15" hidden="false" customHeight="false" outlineLevel="0" collapsed="false">
      <c r="A18" s="12" t="s">
        <v>38</v>
      </c>
    </row>
    <row r="19" customFormat="false" ht="31.5" hidden="false" customHeight="true" outlineLevel="0" collapsed="false">
      <c r="A19" s="13" t="s">
        <v>39</v>
      </c>
      <c r="B19" s="14" t="s">
        <v>40</v>
      </c>
      <c r="C19" s="14"/>
      <c r="D19" s="14"/>
      <c r="E19" s="14"/>
      <c r="F19" s="14"/>
      <c r="G19" s="14"/>
      <c r="H19" s="14"/>
      <c r="I19" s="14"/>
      <c r="J19" s="14"/>
    </row>
    <row r="20" customFormat="false" ht="31.5" hidden="false" customHeight="true" outlineLevel="0" collapsed="false">
      <c r="A20" s="13" t="s">
        <v>41</v>
      </c>
      <c r="B20" s="14" t="s">
        <v>42</v>
      </c>
      <c r="C20" s="14"/>
      <c r="D20" s="14"/>
      <c r="E20" s="14"/>
      <c r="F20" s="14"/>
      <c r="G20" s="14"/>
      <c r="H20" s="14"/>
      <c r="I20" s="14"/>
      <c r="J20" s="14"/>
    </row>
    <row r="21" customFormat="false" ht="31.5" hidden="false" customHeight="true" outlineLevel="0" collapsed="false">
      <c r="A21" s="13" t="s">
        <v>43</v>
      </c>
      <c r="B21" s="14" t="s">
        <v>44</v>
      </c>
      <c r="C21" s="14"/>
      <c r="D21" s="14"/>
      <c r="E21" s="14"/>
      <c r="F21" s="14"/>
      <c r="G21" s="14"/>
      <c r="H21" s="14"/>
      <c r="I21" s="14"/>
      <c r="J21" s="14"/>
    </row>
    <row r="22" customFormat="false" ht="31.5" hidden="false" customHeight="true" outlineLevel="0" collapsed="false">
      <c r="A22" s="13" t="s">
        <v>45</v>
      </c>
      <c r="B22" s="14" t="s">
        <v>46</v>
      </c>
      <c r="C22" s="14"/>
      <c r="D22" s="14"/>
      <c r="E22" s="14"/>
      <c r="F22" s="14"/>
      <c r="G22" s="14"/>
      <c r="H22" s="14"/>
      <c r="I22" s="14"/>
      <c r="J22" s="14"/>
    </row>
    <row r="23" customFormat="false" ht="31.5" hidden="false" customHeight="true" outlineLevel="0" collapsed="false">
      <c r="A23" s="13" t="s">
        <v>47</v>
      </c>
      <c r="B23" s="14" t="s">
        <v>48</v>
      </c>
      <c r="C23" s="14"/>
      <c r="D23" s="14"/>
      <c r="E23" s="14"/>
      <c r="F23" s="14"/>
      <c r="G23" s="14"/>
      <c r="H23" s="14"/>
      <c r="I23" s="14"/>
      <c r="J23" s="14"/>
    </row>
    <row r="24" customFormat="false" ht="31.5" hidden="false" customHeight="true" outlineLevel="0" collapsed="false">
      <c r="A24" s="13" t="s">
        <v>49</v>
      </c>
      <c r="B24" s="14" t="s">
        <v>50</v>
      </c>
      <c r="C24" s="14"/>
      <c r="D24" s="14"/>
      <c r="E24" s="14"/>
      <c r="F24" s="14"/>
      <c r="G24" s="14"/>
      <c r="H24" s="14"/>
      <c r="I24" s="14"/>
      <c r="J24" s="14"/>
    </row>
    <row r="25" customFormat="false" ht="31.5" hidden="false" customHeight="true" outlineLevel="0" collapsed="false">
      <c r="A25" s="13" t="s">
        <v>51</v>
      </c>
      <c r="B25" s="14" t="s">
        <v>52</v>
      </c>
      <c r="C25" s="14"/>
      <c r="D25" s="14"/>
      <c r="E25" s="14"/>
      <c r="F25" s="14"/>
      <c r="G25" s="14"/>
      <c r="H25" s="14"/>
      <c r="I25" s="14"/>
      <c r="J25" s="14"/>
    </row>
    <row r="26" customFormat="false" ht="31.5" hidden="false" customHeight="true" outlineLevel="0" collapsed="false">
      <c r="A26" s="13" t="s">
        <v>53</v>
      </c>
      <c r="B26" s="14" t="s">
        <v>54</v>
      </c>
      <c r="C26" s="14"/>
      <c r="D26" s="14"/>
      <c r="E26" s="14"/>
      <c r="F26" s="14"/>
      <c r="G26" s="14"/>
      <c r="H26" s="14"/>
      <c r="I26" s="14"/>
      <c r="J26" s="14"/>
    </row>
    <row r="27" customFormat="false" ht="15" hidden="false" customHeight="false" outlineLevel="0" collapsed="false">
      <c r="A27" s="12" t="s">
        <v>55</v>
      </c>
    </row>
    <row r="28" customFormat="false" ht="31.5" hidden="false" customHeight="true" outlineLevel="0" collapsed="false">
      <c r="A28" s="13"/>
      <c r="B28" s="14" t="s">
        <v>56</v>
      </c>
      <c r="C28" s="14"/>
      <c r="D28" s="14"/>
      <c r="E28" s="14"/>
      <c r="F28" s="14"/>
      <c r="G28" s="14"/>
      <c r="H28" s="14"/>
      <c r="I28" s="14"/>
      <c r="J28" s="14"/>
    </row>
  </sheetData>
  <mergeCells count="14">
    <mergeCell ref="B13:J13"/>
    <mergeCell ref="B14:J14"/>
    <mergeCell ref="B15:J15"/>
    <mergeCell ref="B16:J16"/>
    <mergeCell ref="B17:J17"/>
    <mergeCell ref="B19:J19"/>
    <mergeCell ref="B20:J20"/>
    <mergeCell ref="B21:J21"/>
    <mergeCell ref="B22:J22"/>
    <mergeCell ref="B23:J23"/>
    <mergeCell ref="B24:J24"/>
    <mergeCell ref="B25:J25"/>
    <mergeCell ref="B26:J26"/>
    <mergeCell ref="B28:J28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BFBF"/>
    <pageSetUpPr fitToPage="false"/>
  </sheetPr>
  <dimension ref="A1:D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1" activeCellId="0" sqref="D11"/>
    </sheetView>
  </sheetViews>
  <sheetFormatPr defaultColWidth="10" defaultRowHeight="15" zeroHeight="false" outlineLevelRow="0" outlineLevelCol="0"/>
  <cols>
    <col collapsed="false" customWidth="true" hidden="false" outlineLevel="0" max="1" min="1" style="15" width="5.14"/>
    <col collapsed="false" customWidth="true" hidden="false" outlineLevel="0" max="2" min="2" style="16" width="62.29"/>
    <col collapsed="false" customWidth="true" hidden="false" outlineLevel="0" max="3" min="3" style="17" width="18.29"/>
    <col collapsed="false" customWidth="true" hidden="false" outlineLevel="0" max="4" min="4" style="18" width="43.57"/>
    <col collapsed="false" customWidth="false" hidden="false" outlineLevel="0" max="16384" min="5" style="19" width="10"/>
  </cols>
  <sheetData>
    <row r="1" customFormat="false" ht="18.75" hidden="false" customHeight="true" outlineLevel="0" collapsed="false">
      <c r="A1" s="20" t="s">
        <v>57</v>
      </c>
      <c r="B1" s="20"/>
      <c r="C1" s="20"/>
      <c r="D1" s="20"/>
    </row>
    <row r="2" customFormat="false" ht="18.75" hidden="true" customHeight="true" outlineLevel="0" collapsed="false">
      <c r="A2" s="20" t="s">
        <v>58</v>
      </c>
      <c r="B2" s="20"/>
      <c r="C2" s="20"/>
      <c r="D2" s="20"/>
    </row>
    <row r="3" s="24" customFormat="true" ht="15" hidden="false" customHeight="false" outlineLevel="0" collapsed="false">
      <c r="A3" s="21" t="s">
        <v>2</v>
      </c>
      <c r="B3" s="21" t="s">
        <v>59</v>
      </c>
      <c r="C3" s="22" t="s">
        <v>60</v>
      </c>
      <c r="D3" s="23" t="s">
        <v>61</v>
      </c>
    </row>
    <row r="4" s="24" customFormat="true" ht="15.75" hidden="true" customHeight="true" outlineLevel="0" collapsed="false">
      <c r="A4" s="25" t="s">
        <v>28</v>
      </c>
      <c r="B4" s="26" t="s">
        <v>62</v>
      </c>
      <c r="C4" s="26"/>
      <c r="D4" s="26"/>
    </row>
    <row r="5" customFormat="false" ht="15.75" hidden="true" customHeight="true" outlineLevel="0" collapsed="false">
      <c r="A5" s="27" t="s">
        <v>63</v>
      </c>
      <c r="B5" s="28" t="s">
        <v>64</v>
      </c>
      <c r="C5" s="29" t="s">
        <v>65</v>
      </c>
      <c r="D5" s="29"/>
    </row>
    <row r="6" customFormat="false" ht="15.75" hidden="true" customHeight="true" outlineLevel="0" collapsed="false">
      <c r="A6" s="27" t="s">
        <v>66</v>
      </c>
      <c r="B6" s="28" t="s">
        <v>67</v>
      </c>
      <c r="C6" s="29"/>
      <c r="D6" s="29"/>
    </row>
    <row r="7" customFormat="false" ht="15.75" hidden="true" customHeight="true" outlineLevel="0" collapsed="false">
      <c r="A7" s="27" t="s">
        <v>68</v>
      </c>
      <c r="B7" s="28" t="s">
        <v>69</v>
      </c>
      <c r="C7" s="29" t="s">
        <v>70</v>
      </c>
      <c r="D7" s="29"/>
    </row>
    <row r="8" customFormat="false" ht="15" hidden="true" customHeight="false" outlineLevel="0" collapsed="false">
      <c r="A8" s="27"/>
      <c r="B8" s="28"/>
      <c r="C8" s="29"/>
      <c r="D8" s="29"/>
    </row>
    <row r="9" customFormat="false" ht="15" hidden="true" customHeight="false" outlineLevel="0" collapsed="false">
      <c r="A9" s="27"/>
      <c r="B9" s="28"/>
      <c r="C9" s="29"/>
      <c r="D9" s="29"/>
    </row>
    <row r="10" s="24" customFormat="true" ht="15" hidden="false" customHeight="true" outlineLevel="0" collapsed="false">
      <c r="A10" s="25" t="s">
        <v>28</v>
      </c>
      <c r="B10" s="26" t="s">
        <v>71</v>
      </c>
      <c r="C10" s="26"/>
      <c r="D10" s="26"/>
    </row>
    <row r="11" customFormat="false" ht="15" hidden="false" customHeight="false" outlineLevel="0" collapsed="false">
      <c r="A11" s="27" t="s">
        <v>72</v>
      </c>
      <c r="B11" s="28" t="s">
        <v>73</v>
      </c>
      <c r="C11" s="30" t="s">
        <v>74</v>
      </c>
      <c r="D11" s="31"/>
    </row>
    <row r="12" customFormat="false" ht="55.2" hidden="false" customHeight="false" outlineLevel="0" collapsed="false">
      <c r="A12" s="27" t="s">
        <v>66</v>
      </c>
      <c r="B12" s="28" t="s">
        <v>75</v>
      </c>
      <c r="C12" s="30" t="s">
        <v>76</v>
      </c>
      <c r="D12" s="31" t="s">
        <v>77</v>
      </c>
    </row>
    <row r="13" customFormat="false" ht="15" hidden="false" customHeight="false" outlineLevel="0" collapsed="false">
      <c r="A13" s="27" t="s">
        <v>72</v>
      </c>
      <c r="B13" s="28" t="s">
        <v>78</v>
      </c>
      <c r="C13" s="30" t="s">
        <v>74</v>
      </c>
      <c r="D13" s="31" t="s">
        <v>79</v>
      </c>
    </row>
    <row r="14" customFormat="false" ht="45" hidden="false" customHeight="true" outlineLevel="0" collapsed="false">
      <c r="A14" s="27" t="s">
        <v>68</v>
      </c>
      <c r="B14" s="28" t="s">
        <v>80</v>
      </c>
      <c r="C14" s="30" t="s">
        <v>76</v>
      </c>
      <c r="D14" s="31" t="s">
        <v>81</v>
      </c>
    </row>
    <row r="15" customFormat="false" ht="28.35" hidden="false" customHeight="false" outlineLevel="0" collapsed="false">
      <c r="A15" s="27" t="s">
        <v>72</v>
      </c>
      <c r="B15" s="28" t="s">
        <v>82</v>
      </c>
      <c r="C15" s="30" t="s">
        <v>74</v>
      </c>
      <c r="D15" s="31" t="s">
        <v>83</v>
      </c>
    </row>
    <row r="16" customFormat="false" ht="30" hidden="false" customHeight="true" outlineLevel="0" collapsed="false">
      <c r="A16" s="27" t="s">
        <v>84</v>
      </c>
      <c r="B16" s="28" t="s">
        <v>85</v>
      </c>
      <c r="C16" s="30" t="s">
        <v>86</v>
      </c>
      <c r="D16" s="31" t="s">
        <v>87</v>
      </c>
    </row>
    <row r="17" customFormat="false" ht="30" hidden="false" customHeight="true" outlineLevel="0" collapsed="false">
      <c r="A17" s="27" t="s">
        <v>72</v>
      </c>
      <c r="B17" s="28" t="s">
        <v>88</v>
      </c>
      <c r="C17" s="30" t="s">
        <v>74</v>
      </c>
      <c r="D17" s="31" t="s">
        <v>89</v>
      </c>
    </row>
    <row r="18" customFormat="false" ht="45" hidden="false" customHeight="true" outlineLevel="0" collapsed="false">
      <c r="A18" s="27" t="s">
        <v>90</v>
      </c>
      <c r="B18" s="28" t="s">
        <v>91</v>
      </c>
      <c r="C18" s="30" t="s">
        <v>86</v>
      </c>
      <c r="D18" s="31" t="s">
        <v>92</v>
      </c>
    </row>
    <row r="19" s="24" customFormat="true" ht="15.75" hidden="false" customHeight="true" outlineLevel="0" collapsed="false">
      <c r="A19" s="25" t="s">
        <v>36</v>
      </c>
      <c r="B19" s="26" t="s">
        <v>93</v>
      </c>
      <c r="C19" s="26"/>
      <c r="D19" s="26"/>
    </row>
    <row r="20" customFormat="false" ht="30" hidden="false" customHeight="true" outlineLevel="0" collapsed="false">
      <c r="A20" s="27" t="s">
        <v>94</v>
      </c>
      <c r="B20" s="32" t="s">
        <v>95</v>
      </c>
      <c r="C20" s="30" t="s">
        <v>74</v>
      </c>
      <c r="D20" s="31" t="s">
        <v>96</v>
      </c>
    </row>
    <row r="21" customFormat="false" ht="45" hidden="false" customHeight="true" outlineLevel="0" collapsed="false">
      <c r="A21" s="27" t="s">
        <v>97</v>
      </c>
      <c r="B21" s="32" t="s">
        <v>98</v>
      </c>
      <c r="C21" s="30" t="s">
        <v>86</v>
      </c>
      <c r="D21" s="31"/>
    </row>
    <row r="22" customFormat="false" ht="30" hidden="false" customHeight="true" outlineLevel="0" collapsed="false">
      <c r="A22" s="27" t="s">
        <v>99</v>
      </c>
      <c r="B22" s="28" t="s">
        <v>100</v>
      </c>
      <c r="C22" s="30" t="s">
        <v>86</v>
      </c>
      <c r="D22" s="31"/>
    </row>
    <row r="23" customFormat="false" ht="30" hidden="false" customHeight="true" outlineLevel="0" collapsed="false">
      <c r="A23" s="27" t="s">
        <v>101</v>
      </c>
      <c r="B23" s="32" t="s">
        <v>102</v>
      </c>
      <c r="C23" s="30" t="s">
        <v>103</v>
      </c>
      <c r="D23" s="31"/>
    </row>
    <row r="24" customFormat="false" ht="30" hidden="false" customHeight="true" outlineLevel="0" collapsed="false">
      <c r="A24" s="27" t="s">
        <v>104</v>
      </c>
      <c r="B24" s="32" t="s">
        <v>105</v>
      </c>
      <c r="C24" s="30"/>
      <c r="D24" s="31"/>
    </row>
    <row r="25" customFormat="false" ht="15" hidden="false" customHeight="false" outlineLevel="0" collapsed="false">
      <c r="A25" s="27" t="s">
        <v>106</v>
      </c>
      <c r="B25" s="32" t="s">
        <v>107</v>
      </c>
      <c r="C25" s="30" t="s">
        <v>103</v>
      </c>
      <c r="D25" s="31"/>
    </row>
    <row r="26" customFormat="false" ht="45" hidden="false" customHeight="true" outlineLevel="0" collapsed="false">
      <c r="A26" s="27" t="s">
        <v>108</v>
      </c>
      <c r="B26" s="32" t="s">
        <v>109</v>
      </c>
      <c r="C26" s="30"/>
      <c r="D26" s="31"/>
    </row>
    <row r="27" customFormat="false" ht="45" hidden="false" customHeight="true" outlineLevel="0" collapsed="false">
      <c r="A27" s="27" t="s">
        <v>110</v>
      </c>
      <c r="B27" s="32" t="s">
        <v>111</v>
      </c>
      <c r="C27" s="30"/>
      <c r="D27" s="31"/>
    </row>
    <row r="28" customFormat="false" ht="30" hidden="false" customHeight="true" outlineLevel="0" collapsed="false">
      <c r="A28" s="27" t="s">
        <v>112</v>
      </c>
      <c r="B28" s="32" t="s">
        <v>113</v>
      </c>
      <c r="C28" s="30"/>
      <c r="D28" s="31"/>
    </row>
    <row r="29" customFormat="false" ht="30" hidden="false" customHeight="true" outlineLevel="0" collapsed="false">
      <c r="A29" s="27" t="s">
        <v>114</v>
      </c>
      <c r="B29" s="32" t="s">
        <v>115</v>
      </c>
      <c r="C29" s="30" t="s">
        <v>103</v>
      </c>
      <c r="D29" s="31"/>
    </row>
    <row r="30" customFormat="false" ht="30" hidden="false" customHeight="true" outlineLevel="0" collapsed="false">
      <c r="A30" s="27" t="s">
        <v>116</v>
      </c>
      <c r="B30" s="32" t="s">
        <v>117</v>
      </c>
      <c r="C30" s="30" t="s">
        <v>103</v>
      </c>
      <c r="D30" s="31"/>
    </row>
    <row r="31" customFormat="false" ht="30" hidden="false" customHeight="true" outlineLevel="0" collapsed="false">
      <c r="A31" s="27" t="s">
        <v>118</v>
      </c>
      <c r="B31" s="28" t="s">
        <v>119</v>
      </c>
      <c r="C31" s="30" t="s">
        <v>86</v>
      </c>
      <c r="D31" s="31"/>
    </row>
    <row r="32" customFormat="false" ht="30" hidden="false" customHeight="true" outlineLevel="0" collapsed="false">
      <c r="A32" s="27" t="s">
        <v>120</v>
      </c>
      <c r="B32" s="28" t="s">
        <v>121</v>
      </c>
      <c r="C32" s="30" t="s">
        <v>74</v>
      </c>
      <c r="D32" s="31" t="s">
        <v>122</v>
      </c>
    </row>
    <row r="33" customFormat="false" ht="30" hidden="false" customHeight="true" outlineLevel="0" collapsed="false">
      <c r="A33" s="27" t="s">
        <v>123</v>
      </c>
      <c r="B33" s="28" t="s">
        <v>124</v>
      </c>
      <c r="C33" s="30" t="s">
        <v>86</v>
      </c>
      <c r="D33" s="31" t="s">
        <v>125</v>
      </c>
    </row>
    <row r="34" customFormat="false" ht="60" hidden="false" customHeight="true" outlineLevel="0" collapsed="false">
      <c r="A34" s="27" t="s">
        <v>126</v>
      </c>
      <c r="B34" s="28" t="s">
        <v>127</v>
      </c>
      <c r="C34" s="30" t="s">
        <v>86</v>
      </c>
      <c r="D34" s="31"/>
    </row>
    <row r="35" customFormat="false" ht="30" hidden="false" customHeight="true" outlineLevel="0" collapsed="false">
      <c r="A35" s="27" t="s">
        <v>128</v>
      </c>
      <c r="B35" s="28" t="s">
        <v>129</v>
      </c>
      <c r="C35" s="30" t="s">
        <v>86</v>
      </c>
      <c r="D35" s="31"/>
    </row>
    <row r="36" customFormat="false" ht="15" hidden="false" customHeight="false" outlineLevel="0" collapsed="false">
      <c r="A36" s="27" t="s">
        <v>130</v>
      </c>
      <c r="B36" s="28" t="s">
        <v>131</v>
      </c>
      <c r="C36" s="30" t="s">
        <v>86</v>
      </c>
      <c r="D36" s="31" t="s">
        <v>132</v>
      </c>
    </row>
    <row r="37" customFormat="false" ht="30" hidden="false" customHeight="true" outlineLevel="0" collapsed="false">
      <c r="A37" s="27" t="s">
        <v>133</v>
      </c>
      <c r="B37" s="28" t="s">
        <v>134</v>
      </c>
      <c r="C37" s="30" t="s">
        <v>74</v>
      </c>
      <c r="D37" s="31" t="s">
        <v>135</v>
      </c>
    </row>
    <row r="38" customFormat="false" ht="30" hidden="false" customHeight="true" outlineLevel="0" collapsed="false">
      <c r="A38" s="27" t="s">
        <v>136</v>
      </c>
      <c r="B38" s="28" t="s">
        <v>137</v>
      </c>
      <c r="C38" s="30" t="s">
        <v>74</v>
      </c>
      <c r="D38" s="31" t="s">
        <v>138</v>
      </c>
    </row>
    <row r="39" s="24" customFormat="true" ht="15.75" hidden="false" customHeight="true" outlineLevel="0" collapsed="false">
      <c r="A39" s="25" t="s">
        <v>39</v>
      </c>
      <c r="B39" s="26" t="s">
        <v>139</v>
      </c>
      <c r="C39" s="26"/>
      <c r="D39" s="26"/>
    </row>
    <row r="40" customFormat="false" ht="30" hidden="false" customHeight="true" outlineLevel="0" collapsed="false">
      <c r="A40" s="27" t="s">
        <v>140</v>
      </c>
      <c r="B40" s="28" t="s">
        <v>141</v>
      </c>
      <c r="C40" s="30" t="s">
        <v>74</v>
      </c>
      <c r="D40" s="31"/>
    </row>
    <row r="41" customFormat="false" ht="45" hidden="false" customHeight="true" outlineLevel="0" collapsed="false">
      <c r="A41" s="27" t="s">
        <v>142</v>
      </c>
      <c r="B41" s="28" t="s">
        <v>143</v>
      </c>
      <c r="C41" s="30" t="s">
        <v>74</v>
      </c>
      <c r="D41" s="31" t="s">
        <v>144</v>
      </c>
    </row>
    <row r="42" customFormat="false" ht="30" hidden="false" customHeight="true" outlineLevel="0" collapsed="false">
      <c r="A42" s="27" t="s">
        <v>145</v>
      </c>
      <c r="B42" s="28" t="s">
        <v>146</v>
      </c>
      <c r="C42" s="30" t="s">
        <v>86</v>
      </c>
      <c r="D42" s="31" t="s">
        <v>92</v>
      </c>
    </row>
  </sheetData>
  <mergeCells count="11">
    <mergeCell ref="A1:D1"/>
    <mergeCell ref="A2:D2"/>
    <mergeCell ref="B4:D4"/>
    <mergeCell ref="C5:D5"/>
    <mergeCell ref="C6:D6"/>
    <mergeCell ref="C7:D7"/>
    <mergeCell ref="C8:D8"/>
    <mergeCell ref="C9:D9"/>
    <mergeCell ref="B10:D10"/>
    <mergeCell ref="B19:D19"/>
    <mergeCell ref="B39:D39"/>
  </mergeCells>
  <dataValidations count="2">
    <dataValidation allowBlank="true" errorStyle="stop" operator="between" showDropDown="false" showErrorMessage="true" showInputMessage="true" sqref="C11:C14" type="list">
      <formula1>"Да,Частично,Нет"</formula1>
      <formula2>0</formula2>
    </dataValidation>
    <dataValidation allowBlank="true" errorStyle="stop" operator="between" showDropDown="false" showErrorMessage="true" showInputMessage="true" sqref="C15:C18 C20:C22 C24 C26:C28 C31:C38 C40:C42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147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148</v>
      </c>
      <c r="C2" s="39" t="s">
        <v>149</v>
      </c>
      <c r="D2" s="39" t="s">
        <v>150</v>
      </c>
      <c r="E2" s="40" t="s">
        <v>151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152</v>
      </c>
      <c r="F3" s="40" t="s">
        <v>153</v>
      </c>
    </row>
    <row r="4" s="45" customFormat="true" ht="41.75" hidden="false" customHeight="false" outlineLevel="0" collapsed="false">
      <c r="A4" s="41" t="s">
        <v>28</v>
      </c>
      <c r="B4" s="41" t="s">
        <v>154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155</v>
      </c>
      <c r="C5" s="42" t="s">
        <v>156</v>
      </c>
      <c r="D5" s="42" t="s">
        <v>157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8</v>
      </c>
    </row>
    <row r="6" s="45" customFormat="true" ht="30" hidden="false" customHeight="true" outlineLevel="0" collapsed="false">
      <c r="A6" s="41" t="s">
        <v>39</v>
      </c>
      <c r="B6" s="41" t="s">
        <v>158</v>
      </c>
      <c r="C6" s="42" t="s">
        <v>159</v>
      </c>
      <c r="D6" s="42" t="s">
        <v>157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32</v>
      </c>
      <c r="F6" s="44" t="n">
        <v>16</v>
      </c>
    </row>
    <row r="7" s="45" customFormat="true" ht="60" hidden="false" customHeight="true" outlineLevel="0" collapsed="false">
      <c r="A7" s="41" t="s">
        <v>41</v>
      </c>
      <c r="B7" s="41" t="s">
        <v>160</v>
      </c>
      <c r="C7" s="42" t="s">
        <v>159</v>
      </c>
      <c r="D7" s="42" t="s">
        <v>161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107</v>
      </c>
      <c r="F7" s="44" t="n">
        <v>24</v>
      </c>
    </row>
    <row r="8" s="45" customFormat="true" ht="45" hidden="false" customHeight="true" outlineLevel="0" collapsed="false">
      <c r="A8" s="41" t="s">
        <v>43</v>
      </c>
      <c r="B8" s="41" t="s">
        <v>162</v>
      </c>
      <c r="C8" s="42" t="s">
        <v>156</v>
      </c>
      <c r="D8" s="42" t="s">
        <v>161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41.75" hidden="false" customHeight="false" outlineLevel="0" collapsed="false">
      <c r="A9" s="41" t="s">
        <v>45</v>
      </c>
      <c r="B9" s="41" t="s">
        <v>163</v>
      </c>
      <c r="C9" s="42" t="s">
        <v>164</v>
      </c>
      <c r="D9" s="42" t="s">
        <v>165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6</v>
      </c>
      <c r="F9" s="44" t="n">
        <v>6</v>
      </c>
    </row>
    <row r="10" s="45" customFormat="true" ht="41.75" hidden="false" customHeight="false" outlineLevel="0" collapsed="false">
      <c r="A10" s="41" t="s">
        <v>47</v>
      </c>
      <c r="B10" s="41" t="s">
        <v>166</v>
      </c>
      <c r="C10" s="42" t="s">
        <v>164</v>
      </c>
      <c r="D10" s="42" t="s">
        <v>161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167</v>
      </c>
      <c r="C11" s="42" t="s">
        <v>164</v>
      </c>
      <c r="D11" s="42" t="s">
        <v>157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14</v>
      </c>
      <c r="F11" s="44" t="n">
        <v>10</v>
      </c>
    </row>
    <row r="12" s="45" customFormat="true" ht="15.75" hidden="false" customHeight="true" outlineLevel="0" collapsed="false">
      <c r="A12" s="41" t="s">
        <v>51</v>
      </c>
      <c r="B12" s="41" t="s">
        <v>168</v>
      </c>
      <c r="C12" s="42" t="s">
        <v>164</v>
      </c>
      <c r="D12" s="42" t="s">
        <v>157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8</v>
      </c>
    </row>
    <row r="13" s="45" customFormat="true" ht="41.75" hidden="false" customHeight="false" outlineLevel="0" collapsed="false">
      <c r="A13" s="41" t="s">
        <v>53</v>
      </c>
      <c r="B13" s="41" t="s">
        <v>169</v>
      </c>
      <c r="C13" s="42" t="s">
        <v>164</v>
      </c>
      <c r="D13" s="42" t="s">
        <v>161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14</v>
      </c>
    </row>
    <row r="14" s="45" customFormat="true" ht="41.75" hidden="false" customHeight="false" outlineLevel="0" collapsed="false">
      <c r="A14" s="41" t="s">
        <v>170</v>
      </c>
      <c r="B14" s="41" t="s">
        <v>171</v>
      </c>
      <c r="C14" s="42" t="s">
        <v>164</v>
      </c>
      <c r="D14" s="42" t="s">
        <v>157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14</v>
      </c>
      <c r="F14" s="44" t="n">
        <v>6</v>
      </c>
    </row>
    <row r="15" s="45" customFormat="true" ht="28.35" hidden="false" customHeight="false" outlineLevel="0" collapsed="false">
      <c r="A15" s="41" t="s">
        <v>172</v>
      </c>
      <c r="B15" s="41" t="s">
        <v>173</v>
      </c>
      <c r="C15" s="42" t="s">
        <v>164</v>
      </c>
      <c r="D15" s="42" t="s">
        <v>161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32</v>
      </c>
      <c r="F15" s="44" t="n">
        <v>12</v>
      </c>
    </row>
    <row r="16" s="45" customFormat="true" ht="41.75" hidden="false" customHeight="false" outlineLevel="0" collapsed="false">
      <c r="A16" s="41" t="s">
        <v>174</v>
      </c>
      <c r="B16" s="41" t="s">
        <v>175</v>
      </c>
      <c r="C16" s="42" t="s">
        <v>156</v>
      </c>
      <c r="D16" s="42" t="s">
        <v>157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16</v>
      </c>
      <c r="F16" s="44" t="n">
        <v>8</v>
      </c>
    </row>
    <row r="17" customFormat="false" ht="41.75" hidden="false" customHeight="false" outlineLevel="0" collapsed="false">
      <c r="A17" s="46" t="s">
        <v>176</v>
      </c>
      <c r="B17" s="41" t="s">
        <v>177</v>
      </c>
      <c r="C17" s="47" t="s">
        <v>156</v>
      </c>
      <c r="D17" s="47" t="s">
        <v>157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16</v>
      </c>
      <c r="F17" s="49" t="n">
        <v>6</v>
      </c>
    </row>
    <row r="18" customFormat="false" ht="28.35" hidden="false" customHeight="false" outlineLevel="0" collapsed="false">
      <c r="A18" s="46" t="s">
        <v>178</v>
      </c>
      <c r="B18" s="41" t="s">
        <v>179</v>
      </c>
      <c r="C18" s="47" t="s">
        <v>180</v>
      </c>
      <c r="D18" s="47" t="s">
        <v>165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4</v>
      </c>
    </row>
    <row r="19" customFormat="false" ht="15" hidden="false" customHeight="false" outlineLevel="0" collapsed="false">
      <c r="A19" s="46" t="s">
        <v>181</v>
      </c>
      <c r="B19" s="41" t="s">
        <v>182</v>
      </c>
      <c r="C19" s="47" t="s">
        <v>183</v>
      </c>
      <c r="D19" s="47" t="s">
        <v>165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6</v>
      </c>
      <c r="F19" s="49" t="n">
        <v>4</v>
      </c>
    </row>
    <row r="20" customFormat="false" ht="28.35" hidden="false" customHeight="false" outlineLevel="0" collapsed="false">
      <c r="A20" s="46" t="s">
        <v>184</v>
      </c>
      <c r="B20" s="41" t="s">
        <v>185</v>
      </c>
      <c r="C20" s="47" t="s">
        <v>156</v>
      </c>
      <c r="D20" s="47" t="s">
        <v>157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16</v>
      </c>
      <c r="F20" s="49" t="n">
        <v>8</v>
      </c>
    </row>
    <row r="21" customFormat="false" ht="15" hidden="false" customHeight="false" outlineLevel="0" collapsed="false">
      <c r="A21" s="46" t="s">
        <v>186</v>
      </c>
      <c r="B21" s="41" t="s">
        <v>187</v>
      </c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 t="n">
        <v>8</v>
      </c>
    </row>
    <row r="22" customFormat="false" ht="15" hidden="false" customHeight="false" outlineLevel="0" collapsed="false">
      <c r="A22" s="46" t="s">
        <v>188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189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190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191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192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193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194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195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196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197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198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199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200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201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202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203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204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205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206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207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208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209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210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211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212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213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214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215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216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217</v>
      </c>
      <c r="B51" s="52"/>
      <c r="C51" s="52"/>
      <c r="D51" s="52"/>
      <c r="E51" s="53" t="n">
        <f aca="false">SUM(E4:E50)</f>
        <v>391</v>
      </c>
      <c r="F51" s="53" t="n">
        <f aca="false">SUM(F4:F50)</f>
        <v>190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218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219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220</v>
      </c>
      <c r="C5" s="66" t="s">
        <v>221</v>
      </c>
      <c r="D5" s="66"/>
      <c r="E5" s="66" t="s">
        <v>222</v>
      </c>
      <c r="F5" s="66" t="s">
        <v>223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224</v>
      </c>
      <c r="C6" s="73" t="s">
        <v>225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224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36</v>
      </c>
      <c r="B8" s="71" t="s">
        <v>226</v>
      </c>
      <c r="C8" s="73" t="s">
        <v>227</v>
      </c>
      <c r="D8" s="73"/>
      <c r="E8" s="75" t="n">
        <f aca="false">SUM(E9:E33)</f>
        <v>190</v>
      </c>
      <c r="F8" s="75" t="n">
        <f aca="false">E8*$F$4</f>
        <v>672786.2</v>
      </c>
      <c r="G8" s="78" t="n">
        <f aca="false">ROUNDUP(E8/8,0)</f>
        <v>24</v>
      </c>
    </row>
    <row r="9" customFormat="false" ht="82.05" hidden="false" customHeight="false" outlineLevel="0" collapsed="false">
      <c r="A9" s="77"/>
      <c r="B9" s="77"/>
      <c r="C9" s="46" t="s">
        <v>28</v>
      </c>
      <c r="D9" s="41" t="str">
        <f aca="false">'Настройка Р1'!B4</f>
        <v>Аналитика разработчика: изучение ТТ и форматов API, разбор витрин закрытия ЦОМ, составление маппинга «поле API → ячейка витрины» (~60 полей)</v>
      </c>
      <c r="E9" s="79" t="n">
        <f aca="false">'Настройка Р1'!F4</f>
        <v>16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Р1'!B5</f>
        <v>Настройка конфигурации робота: адреса и методы API, ключи VSP09209 / VSP09209_BK, маппинг полей, адресаты рассылки, контрольное время</v>
      </c>
      <c r="E10" s="79" t="n">
        <f aca="false">'Настройка Р1'!F5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Р1'!B6</f>
        <v>Общий модуль подключения к API портала ВСП (http://192.168.45.100/api/1.1/): GET-запросы, авторизация, таймауты, повторные попытки при недоступности (переиспользуется Р2–Р3)</v>
      </c>
      <c r="E11" s="79" t="n">
        <f aca="false">'Настройка Р1'!F6</f>
        <v>16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Р1'!B7</f>
        <v>Запрос и разбор JSON по 5 методам факта (factOil, factLiquid, factWater, factPng, factToe): метод блока + 4 общих метода ВСП с выборкой ключа VSP09209_BK из ответа по всем месторождениям, сутки/месяц/год, NULL-значения, текстовые комментарии</v>
      </c>
      <c r="E12" s="79" t="n">
        <f aca="false">'Настройка Р1'!F7</f>
        <v>24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Р1'!B8</f>
        <v>Валидация полученных данных: дата ответа = запрошенной, полнота обязательных полей, типы и точность (3 знака), логические проверки (месяц ≥ сутки, год ≥ месяц)</v>
      </c>
      <c r="E13" s="79" t="n">
        <f aca="false">'Настройка Р1'!F8</f>
        <v>12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Р1'!B9</f>
        <v>Авторизация в ИС ЦОМ (web), переход Вьетнам → ПиТ → Закрытие, выбор отчётной даты, переход в режим «Ввод данных»</v>
      </c>
      <c r="E14" s="79" t="n">
        <f aca="false">'Настройка Р1'!F9</f>
        <v>6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Р1'!B10</f>
        <v>Внесение данных по нефти: факт сутки/месяц/год, обводнённость H2O (сут./год), температура, комментарий к отклонениям — 2 строки блока; сохранение</v>
      </c>
      <c r="E15" s="79" t="n">
        <f aca="false">'Настройка Р1'!F10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Р1'!B11</f>
        <v>Внесение данных по жидкости (факт сутки/месяц/год, комментарий), сохранение</v>
      </c>
      <c r="E16" s="79" t="n">
        <f aca="false">'Настройка Р1'!F11</f>
        <v>10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51</v>
      </c>
      <c r="D17" s="41" t="str">
        <f aca="false">'Настройка Р1'!B12</f>
        <v>Внесение данных по закачке для ППД (сейчас факта нет — при NULL строка пропускается без ошибки), сохранение</v>
      </c>
      <c r="E17" s="79" t="n">
        <f aca="false">'Настройка Р1'!F12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53</v>
      </c>
      <c r="D18" s="41" t="str">
        <f aca="false">'Настройка Р1'!B13</f>
        <v>Внесение данных по ПНГ: факт сутки/месяц/год + показатели качества газа (точка росы, H2S, RSH, мех. примеси — норма/факт), комментарий</v>
      </c>
      <c r="E18" s="79" t="n">
        <f aca="false">'Настройка Р1'!F13</f>
        <v>14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170</v>
      </c>
      <c r="D19" s="41" t="str">
        <f aca="false">'Настройка Р1'!B14</f>
        <v>Внесение/сверка данных ТНЭ (часть показателей расчётная в ЦОМ — вносятся только входные ячейки, расчётные сверяются с API)</v>
      </c>
      <c r="E19" s="79" t="n">
        <f aca="false">'Настройка Р1'!F14</f>
        <v>6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172</v>
      </c>
      <c r="D20" s="41" t="str">
        <f aca="false">'Настройка Р1'!B15</f>
        <v>Контроль внесения: повторное чтение сохранённых ячеек витрин и сверка с данными API, фиксация расхождений</v>
      </c>
      <c r="E20" s="79" t="n">
        <f aca="false">'Настройка Р1'!F15</f>
        <v>12</v>
      </c>
      <c r="F20" s="75"/>
      <c r="G20" s="78"/>
    </row>
    <row r="21" customFormat="false" ht="68.65" hidden="false" customHeight="false" outlineLevel="0" collapsed="false">
      <c r="A21" s="77"/>
      <c r="B21" s="77"/>
      <c r="C21" s="46" t="s">
        <v>174</v>
      </c>
      <c r="D21" s="41" t="str">
        <f aca="false">'Настройка Р1'!B16</f>
        <v>Режим догрузки: ручной запуск за произвольную дату/набор показателей (сценарий 2 ТТ), перезапись при корректировке данных ВСП</v>
      </c>
      <c r="E21" s="79" t="n">
        <f aca="false">'Настройка Р1'!F16</f>
        <v>8</v>
      </c>
      <c r="F21" s="75"/>
      <c r="G21" s="78"/>
    </row>
    <row r="22" customFormat="false" ht="68.65" hidden="false" customHeight="false" outlineLevel="0" collapsed="false">
      <c r="A22" s="77"/>
      <c r="B22" s="77"/>
      <c r="C22" s="46" t="s">
        <v>176</v>
      </c>
      <c r="D22" s="41" t="str">
        <f aca="false">'Настройка Р1'!B17</f>
        <v>Повторные попытки при отсутствии данных (NULL / API недоступен) до контрольного времени, эскалация ответственному</v>
      </c>
      <c r="E22" s="80" t="n">
        <f aca="false">'Настройка Р1'!F17</f>
        <v>6</v>
      </c>
      <c r="F22" s="75"/>
      <c r="G22" s="78"/>
    </row>
    <row r="23" customFormat="false" ht="41.75" hidden="false" customHeight="false" outlineLevel="0" collapsed="false">
      <c r="A23" s="77"/>
      <c r="B23" s="77"/>
      <c r="C23" s="46" t="s">
        <v>178</v>
      </c>
      <c r="D23" s="41" t="str">
        <f aca="false">'Настройка Р1'!B18</f>
        <v>Формирование отчёта о работе (xlsx: какие значения, куда и когда внесены)</v>
      </c>
      <c r="E23" s="80" t="n">
        <f aca="false">'Настройка Р1'!F18</f>
        <v>4</v>
      </c>
      <c r="F23" s="75"/>
      <c r="G23" s="78"/>
    </row>
    <row r="24" customFormat="false" ht="28.35" hidden="false" customHeight="false" outlineLevel="0" collapsed="false">
      <c r="A24" s="77"/>
      <c r="B24" s="77"/>
      <c r="C24" s="46" t="s">
        <v>181</v>
      </c>
      <c r="D24" s="41" t="str">
        <f aca="false">'Настройка Р1'!B19</f>
        <v>Направление писем о работе и ошибках по почте</v>
      </c>
      <c r="E24" s="80" t="n">
        <f aca="false">'Настройка Р1'!F19</f>
        <v>4</v>
      </c>
      <c r="F24" s="75"/>
      <c r="G24" s="78"/>
    </row>
    <row r="25" customFormat="false" ht="41.75" hidden="false" customHeight="false" outlineLevel="0" collapsed="false">
      <c r="A25" s="77"/>
      <c r="B25" s="77"/>
      <c r="C25" s="46" t="s">
        <v>184</v>
      </c>
      <c r="D25" s="41" t="str">
        <f aca="false">'Настройка Р1'!B20</f>
        <v>Обработка исключений, логирование, скриншоты ошибок web-интерфейса</v>
      </c>
      <c r="E25" s="80" t="n">
        <f aca="false">'Настройка Р1'!F20</f>
        <v>8</v>
      </c>
      <c r="F25" s="75"/>
      <c r="G25" s="78"/>
    </row>
    <row r="26" customFormat="false" ht="15" hidden="false" customHeight="false" outlineLevel="0" collapsed="false">
      <c r="A26" s="77"/>
      <c r="B26" s="77"/>
      <c r="C26" s="46" t="s">
        <v>186</v>
      </c>
      <c r="D26" s="41" t="str">
        <f aca="false">'Настройка Р1'!B21</f>
        <v>Хотелки заказчика</v>
      </c>
      <c r="E26" s="80" t="n">
        <f aca="false">'Настройка Р1'!F21</f>
        <v>8</v>
      </c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228</v>
      </c>
      <c r="D34" s="73"/>
      <c r="E34" s="74" t="n">
        <v>24</v>
      </c>
      <c r="F34" s="75" t="n">
        <f aca="false">E34*$F$4</f>
        <v>84983.52</v>
      </c>
      <c r="G34" s="82" t="n">
        <f aca="false">ROUNDUP((E34+E35+E36)/8/0.3,0)</f>
        <v>18</v>
      </c>
    </row>
    <row r="35" customFormat="false" ht="67.5" hidden="false" customHeight="true" outlineLevel="0" collapsed="false">
      <c r="A35" s="77"/>
      <c r="B35" s="83" t="s">
        <v>229</v>
      </c>
      <c r="C35" s="73" t="s">
        <v>230</v>
      </c>
      <c r="D35" s="73"/>
      <c r="E35" s="74" t="n">
        <v>14</v>
      </c>
      <c r="F35" s="75" t="n">
        <f aca="false">E35*$F$4</f>
        <v>49573.72</v>
      </c>
      <c r="G35" s="82"/>
    </row>
    <row r="36" customFormat="false" ht="48.75" hidden="false" customHeight="true" outlineLevel="0" collapsed="false">
      <c r="A36" s="77"/>
      <c r="B36" s="83"/>
      <c r="C36" s="73" t="s">
        <v>231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232</v>
      </c>
      <c r="C37" s="73" t="s">
        <v>233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234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235</v>
      </c>
      <c r="D39" s="73"/>
      <c r="E39" s="74" t="n">
        <v>6</v>
      </c>
      <c r="F39" s="75" t="n">
        <f aca="false">E39*$F$4</f>
        <v>21245.88</v>
      </c>
      <c r="G39" s="82"/>
      <c r="H39" s="12" t="s">
        <v>236</v>
      </c>
      <c r="I39" s="84" t="n">
        <f aca="false">E6+E7+E8+SUM(E34:E39)</f>
        <v>296</v>
      </c>
    </row>
    <row r="40" s="87" customFormat="true" ht="15" hidden="false" customHeight="true" outlineLevel="0" collapsed="false">
      <c r="A40" s="85" t="s">
        <v>237</v>
      </c>
      <c r="B40" s="85"/>
      <c r="C40" s="85"/>
      <c r="D40" s="85"/>
      <c r="E40" s="85"/>
      <c r="F40" s="85" t="n">
        <f aca="false">SUM(F6:F39)</f>
        <v>1048130.08</v>
      </c>
      <c r="G40" s="86" t="n">
        <f aca="false">SUM(G6:G39)</f>
        <v>55</v>
      </c>
      <c r="H40" s="55"/>
      <c r="I40" s="55"/>
      <c r="J40" s="55"/>
    </row>
    <row r="41" s="87" customFormat="true" ht="14.25" hidden="false" customHeight="true" outlineLevel="0" collapsed="false">
      <c r="A41" s="88" t="s">
        <v>238</v>
      </c>
      <c r="B41" s="88"/>
      <c r="C41" s="88"/>
      <c r="D41" s="88"/>
      <c r="E41" s="88"/>
      <c r="F41" s="87" t="n">
        <f aca="false">F40*1.22</f>
        <v>1278718.6976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239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148</v>
      </c>
      <c r="C2" s="39" t="s">
        <v>149</v>
      </c>
      <c r="D2" s="39" t="s">
        <v>150</v>
      </c>
      <c r="E2" s="40" t="s">
        <v>151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152</v>
      </c>
      <c r="F3" s="40" t="s">
        <v>153</v>
      </c>
    </row>
    <row r="4" s="45" customFormat="true" ht="41.75" hidden="false" customHeight="false" outlineLevel="0" collapsed="false">
      <c r="A4" s="41" t="s">
        <v>28</v>
      </c>
      <c r="B4" s="41" t="s">
        <v>240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18</v>
      </c>
    </row>
    <row r="5" s="45" customFormat="true" ht="30" hidden="false" customHeight="true" outlineLevel="0" collapsed="false">
      <c r="A5" s="41" t="s">
        <v>36</v>
      </c>
      <c r="B5" s="41" t="s">
        <v>241</v>
      </c>
      <c r="C5" s="42" t="s">
        <v>156</v>
      </c>
      <c r="D5" s="42" t="s">
        <v>157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16</v>
      </c>
      <c r="F5" s="44" t="n">
        <v>6</v>
      </c>
    </row>
    <row r="6" s="45" customFormat="true" ht="30" hidden="false" customHeight="true" outlineLevel="0" collapsed="false">
      <c r="A6" s="41" t="s">
        <v>39</v>
      </c>
      <c r="B6" s="41" t="s">
        <v>242</v>
      </c>
      <c r="C6" s="42" t="s">
        <v>159</v>
      </c>
      <c r="D6" s="42" t="s">
        <v>165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22</v>
      </c>
      <c r="F6" s="44" t="n">
        <v>6</v>
      </c>
    </row>
    <row r="7" s="45" customFormat="true" ht="60" hidden="false" customHeight="true" outlineLevel="0" collapsed="false">
      <c r="A7" s="41" t="s">
        <v>41</v>
      </c>
      <c r="B7" s="41" t="s">
        <v>243</v>
      </c>
      <c r="C7" s="42" t="s">
        <v>159</v>
      </c>
      <c r="D7" s="42" t="s">
        <v>157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10</v>
      </c>
    </row>
    <row r="8" s="45" customFormat="true" ht="45" hidden="false" customHeight="true" outlineLevel="0" collapsed="false">
      <c r="A8" s="41" t="s">
        <v>43</v>
      </c>
      <c r="B8" s="41" t="s">
        <v>244</v>
      </c>
      <c r="C8" s="42" t="s">
        <v>159</v>
      </c>
      <c r="D8" s="42" t="s">
        <v>157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32</v>
      </c>
      <c r="F8" s="44" t="n">
        <v>12</v>
      </c>
    </row>
    <row r="9" s="45" customFormat="true" ht="41.75" hidden="false" customHeight="false" outlineLevel="0" collapsed="false">
      <c r="A9" s="41" t="s">
        <v>45</v>
      </c>
      <c r="B9" s="41" t="s">
        <v>245</v>
      </c>
      <c r="C9" s="42" t="s">
        <v>156</v>
      </c>
      <c r="D9" s="42" t="s">
        <v>161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32</v>
      </c>
      <c r="F9" s="44" t="n">
        <v>12</v>
      </c>
    </row>
    <row r="10" s="45" customFormat="true" ht="41.75" hidden="false" customHeight="false" outlineLevel="0" collapsed="false">
      <c r="A10" s="41" t="s">
        <v>47</v>
      </c>
      <c r="B10" s="41" t="s">
        <v>246</v>
      </c>
      <c r="C10" s="42" t="s">
        <v>156</v>
      </c>
      <c r="D10" s="42" t="s">
        <v>161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247</v>
      </c>
      <c r="C11" s="42" t="s">
        <v>164</v>
      </c>
      <c r="D11" s="42" t="s">
        <v>161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14</v>
      </c>
    </row>
    <row r="12" s="45" customFormat="true" ht="15.75" hidden="false" customHeight="true" outlineLevel="0" collapsed="false">
      <c r="A12" s="41" t="s">
        <v>51</v>
      </c>
      <c r="B12" s="41" t="s">
        <v>248</v>
      </c>
      <c r="C12" s="42" t="s">
        <v>164</v>
      </c>
      <c r="D12" s="42" t="s">
        <v>161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32</v>
      </c>
      <c r="F12" s="44" t="n">
        <v>18</v>
      </c>
    </row>
    <row r="13" s="45" customFormat="true" ht="28.35" hidden="false" customHeight="false" outlineLevel="0" collapsed="false">
      <c r="A13" s="41" t="s">
        <v>53</v>
      </c>
      <c r="B13" s="41" t="s">
        <v>249</v>
      </c>
      <c r="C13" s="42" t="s">
        <v>164</v>
      </c>
      <c r="D13" s="42" t="s">
        <v>157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14</v>
      </c>
      <c r="F13" s="44" t="n">
        <v>10</v>
      </c>
    </row>
    <row r="14" s="45" customFormat="true" ht="15" hidden="false" customHeight="false" outlineLevel="0" collapsed="false">
      <c r="A14" s="41" t="s">
        <v>170</v>
      </c>
      <c r="B14" s="41" t="s">
        <v>250</v>
      </c>
      <c r="C14" s="42" t="s">
        <v>164</v>
      </c>
      <c r="D14" s="42" t="s">
        <v>157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14</v>
      </c>
      <c r="F14" s="44" t="n">
        <v>8</v>
      </c>
    </row>
    <row r="15" s="45" customFormat="true" ht="28.35" hidden="false" customHeight="false" outlineLevel="0" collapsed="false">
      <c r="A15" s="41" t="s">
        <v>172</v>
      </c>
      <c r="B15" s="41" t="s">
        <v>251</v>
      </c>
      <c r="C15" s="42" t="s">
        <v>164</v>
      </c>
      <c r="D15" s="42" t="s">
        <v>157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14</v>
      </c>
      <c r="F15" s="44" t="n">
        <v>16</v>
      </c>
    </row>
    <row r="16" s="45" customFormat="true" ht="15" hidden="false" customHeight="false" outlineLevel="0" collapsed="false">
      <c r="A16" s="41" t="s">
        <v>174</v>
      </c>
      <c r="B16" s="41" t="s">
        <v>252</v>
      </c>
      <c r="C16" s="42" t="s">
        <v>164</v>
      </c>
      <c r="D16" s="42" t="s">
        <v>157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14</v>
      </c>
      <c r="F16" s="44" t="n">
        <v>10</v>
      </c>
    </row>
    <row r="17" customFormat="false" ht="41.75" hidden="false" customHeight="false" outlineLevel="0" collapsed="false">
      <c r="A17" s="46" t="s">
        <v>176</v>
      </c>
      <c r="B17" s="41" t="s">
        <v>253</v>
      </c>
      <c r="C17" s="47" t="s">
        <v>156</v>
      </c>
      <c r="D17" s="47" t="s">
        <v>161</v>
      </c>
      <c r="E17" s="48" t="n">
        <f aca="false">IF(OR(C17="",D17=""),0,SUMIFS('Оценка сложности задач'!$G$2:$G$40,'Оценка сложности задач'!$A$2:$A$40,C17,'Оценка сложности задач'!$B$2:$B$40,D17))</f>
        <v>32</v>
      </c>
      <c r="F17" s="49" t="n">
        <v>12</v>
      </c>
    </row>
    <row r="18" customFormat="false" ht="15" hidden="false" customHeight="false" outlineLevel="0" collapsed="false">
      <c r="A18" s="46" t="s">
        <v>178</v>
      </c>
      <c r="B18" s="41" t="s">
        <v>254</v>
      </c>
      <c r="C18" s="47" t="s">
        <v>180</v>
      </c>
      <c r="D18" s="47" t="s">
        <v>165</v>
      </c>
      <c r="E18" s="48" t="n">
        <f aca="false">IF(OR(C18="",D18=""),0,SUMIFS('Оценка сложности задач'!$G$2:$G$40,'Оценка сложности задач'!$A$2:$A$40,C18,'Оценка сложности задач'!$B$2:$B$40,D18))</f>
        <v>6</v>
      </c>
      <c r="F18" s="49" t="n">
        <v>4</v>
      </c>
    </row>
    <row r="19" customFormat="false" ht="28.35" hidden="false" customHeight="false" outlineLevel="0" collapsed="false">
      <c r="A19" s="46" t="s">
        <v>181</v>
      </c>
      <c r="B19" s="41" t="s">
        <v>255</v>
      </c>
      <c r="C19" s="47" t="s">
        <v>183</v>
      </c>
      <c r="D19" s="47" t="s">
        <v>157</v>
      </c>
      <c r="E19" s="48" t="n">
        <f aca="false">IF(OR(C19="",D19=""),0,SUMIFS('Оценка сложности задач'!$G$2:$G$40,'Оценка сложности задач'!$A$2:$A$40,C19,'Оценка сложности задач'!$B$2:$B$40,D19))</f>
        <v>11</v>
      </c>
      <c r="F19" s="49" t="n">
        <v>6</v>
      </c>
    </row>
    <row r="20" customFormat="false" ht="15" hidden="false" customHeight="false" outlineLevel="0" collapsed="false">
      <c r="A20" s="46" t="s">
        <v>184</v>
      </c>
      <c r="B20" s="41" t="s">
        <v>256</v>
      </c>
      <c r="C20" s="47" t="s">
        <v>156</v>
      </c>
      <c r="D20" s="47" t="s">
        <v>157</v>
      </c>
      <c r="E20" s="48" t="n">
        <f aca="false">IF(OR(C20="",D20=""),0,SUMIFS('Оценка сложности задач'!$G$2:$G$40,'Оценка сложности задач'!$A$2:$A$40,C20,'Оценка сложности задач'!$B$2:$B$40,D20))</f>
        <v>16</v>
      </c>
      <c r="F20" s="49" t="n">
        <v>8</v>
      </c>
    </row>
    <row r="21" customFormat="false" ht="15" hidden="false" customHeight="false" outlineLevel="0" collapsed="false">
      <c r="A21" s="46" t="s">
        <v>186</v>
      </c>
      <c r="B21" s="41" t="s">
        <v>187</v>
      </c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49" t="n">
        <v>10</v>
      </c>
    </row>
    <row r="22" customFormat="false" ht="15" hidden="false" customHeight="false" outlineLevel="0" collapsed="false">
      <c r="A22" s="46" t="s">
        <v>188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189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190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191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192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193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194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195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196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197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198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199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200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201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202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203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204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205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206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207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208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209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210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211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212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213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214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215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216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217</v>
      </c>
      <c r="B51" s="52"/>
      <c r="C51" s="52"/>
      <c r="D51" s="52"/>
      <c r="E51" s="53" t="n">
        <f aca="false">SUM(E4:E50)</f>
        <v>351</v>
      </c>
      <c r="F51" s="53" t="n">
        <f aca="false">SUM(F4:F50)</f>
        <v>200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257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219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220</v>
      </c>
      <c r="C5" s="66" t="s">
        <v>221</v>
      </c>
      <c r="D5" s="66"/>
      <c r="E5" s="66" t="s">
        <v>222</v>
      </c>
      <c r="F5" s="66" t="s">
        <v>223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224</v>
      </c>
      <c r="C6" s="73" t="s">
        <v>225</v>
      </c>
      <c r="D6" s="73"/>
      <c r="E6" s="74" t="n">
        <v>10</v>
      </c>
      <c r="F6" s="75" t="n">
        <f aca="false">E6*$F$4</f>
        <v>35409.8</v>
      </c>
      <c r="G6" s="76" t="n">
        <f aca="false">ROUNDUP((E6+E7)/8,0)</f>
        <v>3</v>
      </c>
    </row>
    <row r="7" customFormat="false" ht="35.25" hidden="false" customHeight="true" outlineLevel="0" collapsed="false">
      <c r="A7" s="71"/>
      <c r="B7" s="71"/>
      <c r="C7" s="73" t="s">
        <v>224</v>
      </c>
      <c r="D7" s="73"/>
      <c r="E7" s="74" t="n">
        <v>14</v>
      </c>
      <c r="F7" s="75" t="n">
        <f aca="false">E7*$F$4</f>
        <v>49573.72</v>
      </c>
      <c r="G7" s="76"/>
    </row>
    <row r="8" customFormat="false" ht="68.25" hidden="false" customHeight="true" outlineLevel="0" collapsed="false">
      <c r="A8" s="77" t="s">
        <v>36</v>
      </c>
      <c r="B8" s="71" t="s">
        <v>226</v>
      </c>
      <c r="C8" s="73" t="s">
        <v>227</v>
      </c>
      <c r="D8" s="73"/>
      <c r="E8" s="75" t="n">
        <f aca="false">SUM(E9:E33)</f>
        <v>200</v>
      </c>
      <c r="F8" s="75" t="n">
        <f aca="false">E8*$F$4</f>
        <v>708196</v>
      </c>
      <c r="G8" s="78" t="n">
        <f aca="false">ROUNDUP(E8/8,0)</f>
        <v>25</v>
      </c>
    </row>
    <row r="9" customFormat="false" ht="82.05" hidden="false" customHeight="false" outlineLevel="0" collapsed="false">
      <c r="A9" s="77"/>
      <c r="B9" s="77"/>
      <c r="C9" s="46" t="s">
        <v>28</v>
      </c>
      <c r="D9" s="41" t="str">
        <f aca="false">'Настройка Р2'!B4</f>
        <v>Аналитика разработчика: 7 плановых витрин, механизм версий СГ и БП, взаимодействие с действующей интеграцией по другим блокам</v>
      </c>
      <c r="E9" s="79" t="n">
        <f aca="false">'Настройка Р2'!F4</f>
        <v>18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Р2'!B5</f>
        <v>Настройка конфигурации: календарь окон (месяц / год / квартал), маппинг, адресаты — на базе Р1</v>
      </c>
      <c r="E10" s="79" t="n">
        <f aca="false">'Настройка Р2'!F5</f>
        <v>6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Р2'!B6</f>
        <v>Подключение модуля API из Р1</v>
      </c>
      <c r="E11" s="79" t="n">
        <f aca="false">'Настройка Р2'!F6</f>
        <v>6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Р2'!B7</f>
        <v>Запрос и разбор месячных данных sgOil, orderPng: 31 значение, учёт числа дней в месяце, NULL</v>
      </c>
      <c r="E12" s="79" t="n">
        <f aca="false">'Настройка Р2'!F7</f>
        <v>10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Р2'!B8</f>
        <v>Запрос и разбор годовых данных bpOil, bpLiquid, bpWater, bpToe, phdPng: по 12 месячных значений</v>
      </c>
      <c r="E13" s="79" t="n">
        <f aca="false">'Настройка Р2'!F8</f>
        <v>12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Р2'!B9</f>
        <v>Диспетчер окон: какие наборы проверять сегодня, определение планового месяца/года, предварительная и окончательная версия</v>
      </c>
      <c r="E14" s="79" t="n">
        <f aca="false">'Настройка Р2'!F9</f>
        <v>12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Р2'!B10</f>
        <v>Хранилище «снимков» загруженных данных (единое для 7 наборов), поэлементное сравнение, решение: первичная загрузка / без изменений / новая версия</v>
      </c>
      <c r="E15" s="79" t="n">
        <f aca="false">'Настройка Р2'!F10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Р2'!B11</f>
        <v>Навигация в ЦОМ: Планирование → вкладка (Нефть/Жидкость/Закачка/ПНГ/ТНЭ) → вид плана, выбор периода и актуальной версии (общий модуль для 7 витрин)</v>
      </c>
      <c r="E16" s="79" t="n">
        <f aca="false">'Настройка Р2'!F11</f>
        <v>14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51</v>
      </c>
      <c r="D17" s="41" t="str">
        <f aca="false">'Настройка Р2'!B12</f>
        <v>Создание новой версии («Добавить версию») для СГ / План-заявки / БП, проверка, что версия создана и актуальна</v>
      </c>
      <c r="E17" s="79" t="n">
        <f aca="false">'Настройка Р2'!F12</f>
        <v>18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53</v>
      </c>
      <c r="D18" s="41" t="str">
        <f aca="false">'Настройка Р2'!B13</f>
        <v>Внесение 31 значения в столбец «Блок 09-2/09» сетевого графика нефти, сохранение</v>
      </c>
      <c r="E18" s="79" t="n">
        <f aca="false">'Настройка Р2'!F13</f>
        <v>10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170</v>
      </c>
      <c r="D19" s="41" t="str">
        <f aca="false">'Настройка Р2'!B14</f>
        <v>Внесение План-заявки ПНГ (31 значение), сохранение</v>
      </c>
      <c r="E19" s="79" t="n">
        <f aca="false">'Настройка Р2'!F14</f>
        <v>8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172</v>
      </c>
      <c r="D20" s="41" t="str">
        <f aca="false">'Настройка Р2'!B15</f>
        <v>Внесение 12 месячных значений в 5 витрин БП/ПХД, сохранение</v>
      </c>
      <c r="E20" s="79" t="n">
        <f aca="false">'Настройка Р2'!F15</f>
        <v>16</v>
      </c>
      <c r="F20" s="75"/>
      <c r="G20" s="78"/>
    </row>
    <row r="21" customFormat="false" ht="28.35" hidden="false" customHeight="false" outlineLevel="0" collapsed="false">
      <c r="A21" s="77"/>
      <c r="B21" s="77"/>
      <c r="C21" s="46" t="s">
        <v>174</v>
      </c>
      <c r="D21" s="41" t="str">
        <f aca="false">'Настройка Р2'!B16</f>
        <v>Контроль внесения: повторное чтение, сверка с API</v>
      </c>
      <c r="E21" s="79" t="n">
        <f aca="false">'Настройка Р2'!F16</f>
        <v>10</v>
      </c>
      <c r="F21" s="75"/>
      <c r="G21" s="78"/>
    </row>
    <row r="22" customFormat="false" ht="82.05" hidden="false" customHeight="false" outlineLevel="0" collapsed="false">
      <c r="A22" s="77"/>
      <c r="B22" s="77"/>
      <c r="C22" s="46" t="s">
        <v>176</v>
      </c>
      <c r="D22" s="41" t="str">
        <f aca="false">'Настройка Р2'!B17</f>
        <v>Согласование с действующей интеграцией: не затирать данные других блоков, работа с версией, созданной интеграцией (правило уточняется с Горбуновым)</v>
      </c>
      <c r="E22" s="80" t="n">
        <f aca="false">'Настройка Р2'!F17</f>
        <v>12</v>
      </c>
      <c r="F22" s="75"/>
      <c r="G22" s="78"/>
    </row>
    <row r="23" customFormat="false" ht="15" hidden="false" customHeight="false" outlineLevel="0" collapsed="false">
      <c r="A23" s="77"/>
      <c r="B23" s="77"/>
      <c r="C23" s="46" t="s">
        <v>178</v>
      </c>
      <c r="D23" s="41" t="str">
        <f aca="false">'Настройка Р2'!B18</f>
        <v>Формирование отчёта о работе</v>
      </c>
      <c r="E23" s="80" t="n">
        <f aca="false">'Настройка Р2'!F18</f>
        <v>4</v>
      </c>
      <c r="F23" s="75"/>
      <c r="G23" s="78"/>
    </row>
    <row r="24" customFormat="false" ht="41.75" hidden="false" customHeight="false" outlineLevel="0" collapsed="false">
      <c r="A24" s="77"/>
      <c r="B24" s="77"/>
      <c r="C24" s="46" t="s">
        <v>181</v>
      </c>
      <c r="D24" s="41" t="str">
        <f aca="false">'Настройка Р2'!B19</f>
        <v>Письма: о работе, об ошибках, уведомление «создана новая версия СГ/БП»</v>
      </c>
      <c r="E24" s="80" t="n">
        <f aca="false">'Настройка Р2'!F19</f>
        <v>6</v>
      </c>
      <c r="F24" s="75"/>
      <c r="G24" s="78"/>
    </row>
    <row r="25" customFormat="false" ht="28.35" hidden="false" customHeight="false" outlineLevel="0" collapsed="false">
      <c r="A25" s="77"/>
      <c r="B25" s="77"/>
      <c r="C25" s="46" t="s">
        <v>184</v>
      </c>
      <c r="D25" s="41" t="str">
        <f aca="false">'Настройка Р2'!B20</f>
        <v>Обработка исключений, логирование</v>
      </c>
      <c r="E25" s="80" t="n">
        <f aca="false">'Настройка Р2'!F20</f>
        <v>8</v>
      </c>
      <c r="F25" s="75"/>
      <c r="G25" s="78"/>
    </row>
    <row r="26" customFormat="false" ht="15" hidden="false" customHeight="false" outlineLevel="0" collapsed="false">
      <c r="A26" s="77"/>
      <c r="B26" s="77"/>
      <c r="C26" s="46" t="s">
        <v>186</v>
      </c>
      <c r="D26" s="41" t="str">
        <f aca="false">'Настройка Р2'!B21</f>
        <v>Хотелки заказчика</v>
      </c>
      <c r="E26" s="80" t="n">
        <f aca="false">'Настройка Р2'!F21</f>
        <v>10</v>
      </c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228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229</v>
      </c>
      <c r="C35" s="73" t="s">
        <v>230</v>
      </c>
      <c r="D35" s="73"/>
      <c r="E35" s="74" t="n">
        <v>10</v>
      </c>
      <c r="F35" s="75" t="n">
        <f aca="false">E35*$F$4</f>
        <v>35409.8</v>
      </c>
      <c r="G35" s="82"/>
    </row>
    <row r="36" customFormat="false" ht="48.75" hidden="false" customHeight="true" outlineLevel="0" collapsed="false">
      <c r="A36" s="77"/>
      <c r="B36" s="83"/>
      <c r="C36" s="73" t="s">
        <v>231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232</v>
      </c>
      <c r="C37" s="73" t="s">
        <v>233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234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235</v>
      </c>
      <c r="D39" s="73"/>
      <c r="E39" s="74" t="n">
        <v>6</v>
      </c>
      <c r="F39" s="75" t="n">
        <f aca="false">E39*$F$4</f>
        <v>21245.88</v>
      </c>
      <c r="G39" s="82"/>
      <c r="H39" s="12" t="s">
        <v>236</v>
      </c>
      <c r="I39" s="84" t="n">
        <f aca="false">E6+E7+E8+SUM(E34:E39)</f>
        <v>294</v>
      </c>
    </row>
    <row r="40" s="87" customFormat="true" ht="15" hidden="false" customHeight="true" outlineLevel="0" collapsed="false">
      <c r="A40" s="85" t="s">
        <v>237</v>
      </c>
      <c r="B40" s="85"/>
      <c r="C40" s="85"/>
      <c r="D40" s="85"/>
      <c r="E40" s="85"/>
      <c r="F40" s="85" t="n">
        <f aca="false">SUM(F6:F39)</f>
        <v>1041048.12</v>
      </c>
      <c r="G40" s="86" t="n">
        <f aca="false">SUM(G6:G39)</f>
        <v>52</v>
      </c>
      <c r="H40" s="55"/>
      <c r="I40" s="55"/>
      <c r="J40" s="55"/>
    </row>
    <row r="41" s="87" customFormat="true" ht="14.25" hidden="false" customHeight="true" outlineLevel="0" collapsed="false">
      <c r="A41" s="88" t="s">
        <v>238</v>
      </c>
      <c r="B41" s="88"/>
      <c r="C41" s="88"/>
      <c r="D41" s="88"/>
      <c r="E41" s="88"/>
      <c r="F41" s="87" t="n">
        <f aca="false">F40*1.22</f>
        <v>1270078.7064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G5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8.859375" defaultRowHeight="15" zeroHeight="false" outlineLevelRow="0" outlineLevelCol="0"/>
  <cols>
    <col collapsed="false" customWidth="true" hidden="false" outlineLevel="0" max="1" min="1" style="33" width="5.43"/>
    <col collapsed="false" customWidth="true" hidden="false" outlineLevel="0" max="2" min="2" style="34" width="53.43"/>
    <col collapsed="false" customWidth="true" hidden="false" outlineLevel="0" max="3" min="3" style="35" width="35.71"/>
    <col collapsed="false" customWidth="true" hidden="false" outlineLevel="0" max="4" min="4" style="35" width="15.43"/>
    <col collapsed="false" customWidth="true" hidden="false" outlineLevel="0" max="6" min="5" style="35" width="16"/>
    <col collapsed="false" customWidth="false" hidden="false" outlineLevel="0" max="16384" min="7" style="35" width="8.86"/>
  </cols>
  <sheetData>
    <row r="1" customFormat="false" ht="15" hidden="false" customHeight="false" outlineLevel="0" collapsed="false">
      <c r="A1" s="36" t="s">
        <v>258</v>
      </c>
      <c r="B1" s="36"/>
      <c r="C1" s="36"/>
      <c r="D1" s="36"/>
      <c r="E1" s="36"/>
      <c r="F1" s="36"/>
    </row>
    <row r="2" customFormat="false" ht="15" hidden="false" customHeight="true" outlineLevel="0" collapsed="false">
      <c r="A2" s="37" t="s">
        <v>2</v>
      </c>
      <c r="B2" s="38" t="s">
        <v>148</v>
      </c>
      <c r="C2" s="39" t="s">
        <v>149</v>
      </c>
      <c r="D2" s="39" t="s">
        <v>150</v>
      </c>
      <c r="E2" s="40" t="s">
        <v>151</v>
      </c>
      <c r="F2" s="40"/>
    </row>
    <row r="3" customFormat="false" ht="15" hidden="false" customHeight="false" outlineLevel="0" collapsed="false">
      <c r="A3" s="37"/>
      <c r="B3" s="37"/>
      <c r="C3" s="37"/>
      <c r="D3" s="37"/>
      <c r="E3" s="39" t="s">
        <v>152</v>
      </c>
      <c r="F3" s="40" t="s">
        <v>153</v>
      </c>
    </row>
    <row r="4" s="45" customFormat="true" ht="41.75" hidden="false" customHeight="false" outlineLevel="0" collapsed="false">
      <c r="A4" s="41" t="s">
        <v>28</v>
      </c>
      <c r="B4" s="41" t="s">
        <v>259</v>
      </c>
      <c r="C4" s="42"/>
      <c r="D4" s="42"/>
      <c r="E4" s="43" t="n">
        <f aca="false">IF(OR(C4="",D4=""),0,SUMIFS('Оценка сложности задач'!$G$2:$G$40,'Оценка сложности задач'!$A$2:$A$40,C4,'Оценка сложности задач'!$B$2:$B$40,D4))</f>
        <v>0</v>
      </c>
      <c r="F4" s="44" t="n">
        <v>16</v>
      </c>
    </row>
    <row r="5" s="45" customFormat="true" ht="30" hidden="false" customHeight="true" outlineLevel="0" collapsed="false">
      <c r="A5" s="41" t="s">
        <v>36</v>
      </c>
      <c r="B5" s="41" t="s">
        <v>260</v>
      </c>
      <c r="C5" s="42" t="s">
        <v>180</v>
      </c>
      <c r="D5" s="42" t="s">
        <v>157</v>
      </c>
      <c r="E5" s="43" t="n">
        <f aca="false">IF(OR(C5="",D5=""),0,SUMIFS('Оценка сложности задач'!$G$2:$G$40,'Оценка сложности задач'!$A$2:$A$40,C5,'Оценка сложности задач'!$B$2:$B$40,D5))</f>
        <v>11</v>
      </c>
      <c r="F5" s="44" t="n">
        <v>8</v>
      </c>
    </row>
    <row r="6" s="45" customFormat="true" ht="30" hidden="false" customHeight="true" outlineLevel="0" collapsed="false">
      <c r="A6" s="41" t="s">
        <v>39</v>
      </c>
      <c r="B6" s="41" t="s">
        <v>261</v>
      </c>
      <c r="C6" s="42" t="s">
        <v>159</v>
      </c>
      <c r="D6" s="42" t="s">
        <v>161</v>
      </c>
      <c r="E6" s="43" t="n">
        <f aca="false">IF(OR(C6="",D6=""),0,SUMIFS('Оценка сложности задач'!$G$2:$G$40,'Оценка сложности задач'!$A$2:$A$40,C6,'Оценка сложности задач'!$B$2:$B$40,D6))</f>
        <v>107</v>
      </c>
      <c r="F6" s="44" t="n">
        <v>24</v>
      </c>
    </row>
    <row r="7" s="45" customFormat="true" ht="60" hidden="false" customHeight="true" outlineLevel="0" collapsed="false">
      <c r="A7" s="41" t="s">
        <v>41</v>
      </c>
      <c r="B7" s="41" t="s">
        <v>262</v>
      </c>
      <c r="C7" s="42" t="s">
        <v>159</v>
      </c>
      <c r="D7" s="42" t="s">
        <v>157</v>
      </c>
      <c r="E7" s="43" t="n">
        <f aca="false">IF(OR(C7="",D7=""),0,SUMIFS('Оценка сложности задач'!$G$2:$G$40,'Оценка сложности задач'!$A$2:$A$40,C7,'Оценка сложности задач'!$B$2:$B$40,D7))</f>
        <v>32</v>
      </c>
      <c r="F7" s="44" t="n">
        <v>12</v>
      </c>
    </row>
    <row r="8" s="45" customFormat="true" ht="45" hidden="false" customHeight="true" outlineLevel="0" collapsed="false">
      <c r="A8" s="41" t="s">
        <v>43</v>
      </c>
      <c r="B8" s="41" t="s">
        <v>263</v>
      </c>
      <c r="C8" s="42" t="s">
        <v>156</v>
      </c>
      <c r="D8" s="42" t="s">
        <v>157</v>
      </c>
      <c r="E8" s="43" t="n">
        <f aca="false">IF(OR(C8="",D8=""),0,SUMIFS('Оценка сложности задач'!$G$2:$G$40,'Оценка сложности задач'!$A$2:$A$40,C8,'Оценка сложности задач'!$B$2:$B$40,D8))</f>
        <v>16</v>
      </c>
      <c r="F8" s="44" t="n">
        <v>10</v>
      </c>
    </row>
    <row r="9" s="45" customFormat="true" ht="41.75" hidden="false" customHeight="false" outlineLevel="0" collapsed="false">
      <c r="A9" s="41" t="s">
        <v>45</v>
      </c>
      <c r="B9" s="41" t="s">
        <v>264</v>
      </c>
      <c r="C9" s="42" t="s">
        <v>164</v>
      </c>
      <c r="D9" s="42" t="s">
        <v>157</v>
      </c>
      <c r="E9" s="43" t="n">
        <f aca="false">IF(OR(C9="",D9=""),0,SUMIFS('Оценка сложности задач'!$G$2:$G$40,'Оценка сложности задач'!$A$2:$A$40,C9,'Оценка сложности задач'!$B$2:$B$40,D9))</f>
        <v>14</v>
      </c>
      <c r="F9" s="44" t="n">
        <v>10</v>
      </c>
    </row>
    <row r="10" s="45" customFormat="true" ht="28.35" hidden="false" customHeight="false" outlineLevel="0" collapsed="false">
      <c r="A10" s="41" t="s">
        <v>47</v>
      </c>
      <c r="B10" s="41" t="s">
        <v>265</v>
      </c>
      <c r="C10" s="42" t="s">
        <v>164</v>
      </c>
      <c r="D10" s="42" t="s">
        <v>161</v>
      </c>
      <c r="E10" s="43" t="n">
        <f aca="false">IF(OR(C10="",D10=""),0,SUMIFS('Оценка сложности задач'!$G$2:$G$40,'Оценка сложности задач'!$A$2:$A$40,C10,'Оценка сложности задач'!$B$2:$B$40,D10))</f>
        <v>32</v>
      </c>
      <c r="F10" s="44" t="n">
        <v>20</v>
      </c>
    </row>
    <row r="11" s="45" customFormat="true" ht="30" hidden="false" customHeight="true" outlineLevel="0" collapsed="false">
      <c r="A11" s="41" t="s">
        <v>49</v>
      </c>
      <c r="B11" s="41" t="s">
        <v>266</v>
      </c>
      <c r="C11" s="42" t="s">
        <v>164</v>
      </c>
      <c r="D11" s="42" t="s">
        <v>161</v>
      </c>
      <c r="E11" s="43" t="n">
        <f aca="false">IF(OR(C11="",D11=""),0,SUMIFS('Оценка сложности задач'!$G$2:$G$40,'Оценка сложности задач'!$A$2:$A$40,C11,'Оценка сложности задач'!$B$2:$B$40,D11))</f>
        <v>32</v>
      </c>
      <c r="F11" s="44" t="n">
        <v>16</v>
      </c>
    </row>
    <row r="12" s="45" customFormat="true" ht="15.75" hidden="false" customHeight="true" outlineLevel="0" collapsed="false">
      <c r="A12" s="41" t="s">
        <v>51</v>
      </c>
      <c r="B12" s="41" t="s">
        <v>267</v>
      </c>
      <c r="C12" s="42" t="s">
        <v>164</v>
      </c>
      <c r="D12" s="42" t="s">
        <v>157</v>
      </c>
      <c r="E12" s="43" t="n">
        <f aca="false">IF(OR(C12="",D12=""),0,SUMIFS('Оценка сложности задач'!$G$2:$G$40,'Оценка сложности задач'!$A$2:$A$40,C12,'Оценка сложности задач'!$B$2:$B$40,D12))</f>
        <v>14</v>
      </c>
      <c r="F12" s="44" t="n">
        <v>8</v>
      </c>
    </row>
    <row r="13" s="45" customFormat="true" ht="28.35" hidden="false" customHeight="false" outlineLevel="0" collapsed="false">
      <c r="A13" s="41" t="s">
        <v>53</v>
      </c>
      <c r="B13" s="41" t="s">
        <v>268</v>
      </c>
      <c r="C13" s="42" t="s">
        <v>156</v>
      </c>
      <c r="D13" s="42" t="s">
        <v>161</v>
      </c>
      <c r="E13" s="43" t="n">
        <f aca="false">IF(OR(C13="",D13=""),0,SUMIFS('Оценка сложности задач'!$G$2:$G$40,'Оценка сложности задач'!$A$2:$A$40,C13,'Оценка сложности задач'!$B$2:$B$40,D13))</f>
        <v>32</v>
      </c>
      <c r="F13" s="44" t="n">
        <v>12</v>
      </c>
    </row>
    <row r="14" s="45" customFormat="true" ht="28.35" hidden="false" customHeight="false" outlineLevel="0" collapsed="false">
      <c r="A14" s="41" t="s">
        <v>170</v>
      </c>
      <c r="B14" s="41" t="s">
        <v>269</v>
      </c>
      <c r="C14" s="42" t="s">
        <v>180</v>
      </c>
      <c r="D14" s="42" t="s">
        <v>165</v>
      </c>
      <c r="E14" s="43" t="n">
        <f aca="false">IF(OR(C14="",D14=""),0,SUMIFS('Оценка сложности задач'!$G$2:$G$40,'Оценка сложности задач'!$A$2:$A$40,C14,'Оценка сложности задач'!$B$2:$B$40,D14))</f>
        <v>6</v>
      </c>
      <c r="F14" s="44" t="n">
        <v>4</v>
      </c>
    </row>
    <row r="15" s="45" customFormat="true" ht="15" hidden="false" customHeight="false" outlineLevel="0" collapsed="false">
      <c r="A15" s="41" t="s">
        <v>172</v>
      </c>
      <c r="B15" s="41" t="s">
        <v>270</v>
      </c>
      <c r="C15" s="42" t="s">
        <v>183</v>
      </c>
      <c r="D15" s="42" t="s">
        <v>165</v>
      </c>
      <c r="E15" s="43" t="n">
        <f aca="false">IF(OR(C15="",D15=""),0,SUMIFS('Оценка сложности задач'!$G$2:$G$40,'Оценка сложности задач'!$A$2:$A$40,C15,'Оценка сложности задач'!$B$2:$B$40,D15))</f>
        <v>6</v>
      </c>
      <c r="F15" s="44" t="n">
        <v>4</v>
      </c>
    </row>
    <row r="16" s="45" customFormat="true" ht="15" hidden="false" customHeight="false" outlineLevel="0" collapsed="false">
      <c r="A16" s="41" t="s">
        <v>174</v>
      </c>
      <c r="B16" s="41" t="s">
        <v>256</v>
      </c>
      <c r="C16" s="42" t="s">
        <v>156</v>
      </c>
      <c r="D16" s="42" t="s">
        <v>157</v>
      </c>
      <c r="E16" s="43" t="n">
        <f aca="false">IF(OR(C16="",D16=""),0,SUMIFS('Оценка сложности задач'!$G$2:$G$40,'Оценка сложности задач'!$A$2:$A$40,C16,'Оценка сложности задач'!$B$2:$B$40,D16))</f>
        <v>16</v>
      </c>
      <c r="F16" s="44" t="n">
        <v>8</v>
      </c>
    </row>
    <row r="17" customFormat="false" ht="15" hidden="false" customHeight="false" outlineLevel="0" collapsed="false">
      <c r="A17" s="46" t="s">
        <v>176</v>
      </c>
      <c r="B17" s="41" t="s">
        <v>187</v>
      </c>
      <c r="C17" s="47"/>
      <c r="D17" s="47"/>
      <c r="E17" s="48" t="n">
        <f aca="false">IF(OR(C17="",D17=""),0,SUMIFS('Оценка сложности задач'!$G$2:$G$40,'Оценка сложности задач'!$A$2:$A$40,C17,'Оценка сложности задач'!$B$2:$B$40,D17))</f>
        <v>0</v>
      </c>
      <c r="F17" s="49" t="n">
        <v>8</v>
      </c>
    </row>
    <row r="18" customFormat="false" ht="15" hidden="false" customHeight="false" outlineLevel="0" collapsed="false">
      <c r="A18" s="46" t="s">
        <v>178</v>
      </c>
      <c r="B18" s="41"/>
      <c r="C18" s="47"/>
      <c r="D18" s="47"/>
      <c r="E18" s="48" t="n">
        <f aca="false">IF(OR(C18="",D18=""),0,SUMIFS('Оценка сложности задач'!$G$2:$G$40,'Оценка сложности задач'!$A$2:$A$40,C18,'Оценка сложности задач'!$B$2:$B$40,D18))</f>
        <v>0</v>
      </c>
      <c r="F18" s="50"/>
    </row>
    <row r="19" customFormat="false" ht="15" hidden="false" customHeight="false" outlineLevel="0" collapsed="false">
      <c r="A19" s="46" t="s">
        <v>181</v>
      </c>
      <c r="B19" s="41"/>
      <c r="C19" s="47"/>
      <c r="D19" s="47"/>
      <c r="E19" s="48" t="n">
        <f aca="false">IF(OR(C19="",D19=""),0,SUMIFS('Оценка сложности задач'!$G$2:$G$40,'Оценка сложности задач'!$A$2:$A$40,C19,'Оценка сложности задач'!$B$2:$B$40,D19))</f>
        <v>0</v>
      </c>
      <c r="F19" s="50"/>
    </row>
    <row r="20" customFormat="false" ht="15" hidden="false" customHeight="false" outlineLevel="0" collapsed="false">
      <c r="A20" s="46" t="s">
        <v>184</v>
      </c>
      <c r="B20" s="41"/>
      <c r="C20" s="47"/>
      <c r="D20" s="47"/>
      <c r="E20" s="48" t="n">
        <f aca="false">IF(OR(C20="",D20=""),0,SUMIFS('Оценка сложности задач'!$G$2:$G$40,'Оценка сложности задач'!$A$2:$A$40,C20,'Оценка сложности задач'!$B$2:$B$40,D20))</f>
        <v>0</v>
      </c>
      <c r="F20" s="50"/>
    </row>
    <row r="21" customFormat="false" ht="15" hidden="false" customHeight="false" outlineLevel="0" collapsed="false">
      <c r="A21" s="46" t="s">
        <v>186</v>
      </c>
      <c r="B21" s="41"/>
      <c r="C21" s="47"/>
      <c r="D21" s="47"/>
      <c r="E21" s="48" t="n">
        <f aca="false">IF(OR(C21="",D21=""),0,SUMIFS('Оценка сложности задач'!$G$2:$G$40,'Оценка сложности задач'!$A$2:$A$40,C21,'Оценка сложности задач'!$B$2:$B$40,D21))</f>
        <v>0</v>
      </c>
      <c r="F21" s="50"/>
    </row>
    <row r="22" customFormat="false" ht="15" hidden="false" customHeight="false" outlineLevel="0" collapsed="false">
      <c r="A22" s="46" t="s">
        <v>188</v>
      </c>
      <c r="B22" s="41"/>
      <c r="C22" s="47"/>
      <c r="D22" s="47"/>
      <c r="E22" s="48" t="n">
        <f aca="false">IF(OR(C22="",D22=""),0,SUMIFS('Оценка сложности задач'!$G$2:$G$40,'Оценка сложности задач'!$A$2:$A$40,C22,'Оценка сложности задач'!$B$2:$B$40,D22))</f>
        <v>0</v>
      </c>
      <c r="F22" s="50"/>
    </row>
    <row r="23" customFormat="false" ht="15" hidden="false" customHeight="false" outlineLevel="0" collapsed="false">
      <c r="A23" s="46" t="s">
        <v>189</v>
      </c>
      <c r="B23" s="41"/>
      <c r="C23" s="47"/>
      <c r="D23" s="47"/>
      <c r="E23" s="48" t="n">
        <f aca="false">IF(OR(C23="",D23=""),0,SUMIFS('Оценка сложности задач'!$G$2:$G$40,'Оценка сложности задач'!$A$2:$A$40,C23,'Оценка сложности задач'!$B$2:$B$40,D23))</f>
        <v>0</v>
      </c>
      <c r="F23" s="50"/>
    </row>
    <row r="24" customFormat="false" ht="15" hidden="false" customHeight="false" outlineLevel="0" collapsed="false">
      <c r="A24" s="46" t="s">
        <v>190</v>
      </c>
      <c r="B24" s="41"/>
      <c r="C24" s="47"/>
      <c r="D24" s="47"/>
      <c r="E24" s="48" t="n">
        <f aca="false">IF(OR(C24="",D24=""),0,SUMIFS('Оценка сложности задач'!$G$2:$G$40,'Оценка сложности задач'!$A$2:$A$40,C24,'Оценка сложности задач'!$B$2:$B$40,D24))</f>
        <v>0</v>
      </c>
      <c r="F24" s="50"/>
    </row>
    <row r="25" customFormat="false" ht="15" hidden="false" customHeight="false" outlineLevel="0" collapsed="false">
      <c r="A25" s="46" t="s">
        <v>191</v>
      </c>
      <c r="B25" s="41"/>
      <c r="C25" s="47"/>
      <c r="D25" s="47"/>
      <c r="E25" s="48" t="n">
        <f aca="false">IF(OR(C25="",D25=""),0,SUMIFS('Оценка сложности задач'!$G$2:$G$40,'Оценка сложности задач'!$A$2:$A$40,C25,'Оценка сложности задач'!$B$2:$B$40,D25))</f>
        <v>0</v>
      </c>
      <c r="F25" s="50"/>
    </row>
    <row r="26" customFormat="false" ht="15" hidden="false" customHeight="false" outlineLevel="0" collapsed="false">
      <c r="A26" s="46" t="s">
        <v>192</v>
      </c>
      <c r="B26" s="41"/>
      <c r="C26" s="47"/>
      <c r="D26" s="47"/>
      <c r="E26" s="48" t="n">
        <f aca="false">IF(OR(C26="",D26=""),0,SUMIFS('Оценка сложности задач'!$G$2:$G$40,'Оценка сложности задач'!$A$2:$A$40,C26,'Оценка сложности задач'!$B$2:$B$40,D26))</f>
        <v>0</v>
      </c>
      <c r="F26" s="50"/>
    </row>
    <row r="27" customFormat="false" ht="15" hidden="false" customHeight="false" outlineLevel="0" collapsed="false">
      <c r="A27" s="46" t="s">
        <v>193</v>
      </c>
      <c r="B27" s="41"/>
      <c r="C27" s="47"/>
      <c r="D27" s="47"/>
      <c r="E27" s="48" t="n">
        <f aca="false">IF(OR(C27="",D27=""),0,SUMIFS('Оценка сложности задач'!$G$2:$G$40,'Оценка сложности задач'!$A$2:$A$40,C27,'Оценка сложности задач'!$B$2:$B$40,D27))</f>
        <v>0</v>
      </c>
      <c r="F27" s="50"/>
    </row>
    <row r="28" customFormat="false" ht="15" hidden="false" customHeight="false" outlineLevel="0" collapsed="false">
      <c r="A28" s="46" t="s">
        <v>194</v>
      </c>
      <c r="B28" s="41"/>
      <c r="C28" s="47"/>
      <c r="D28" s="47"/>
      <c r="E28" s="48" t="n">
        <f aca="false">IF(OR(C28="",D28=""),0,SUMIFS('Оценка сложности задач'!$G$2:$G$40,'Оценка сложности задач'!$A$2:$A$40,C28,'Оценка сложности задач'!$B$2:$B$40,D28))</f>
        <v>0</v>
      </c>
      <c r="F28" s="50"/>
    </row>
    <row r="29" customFormat="false" ht="15" hidden="false" customHeight="false" outlineLevel="0" collapsed="false">
      <c r="A29" s="46" t="s">
        <v>195</v>
      </c>
      <c r="B29" s="41"/>
      <c r="C29" s="47"/>
      <c r="D29" s="47"/>
      <c r="E29" s="48" t="n">
        <f aca="false">IF(OR(C29="",D29=""),0,SUMIFS('Оценка сложности задач'!$G$2:$G$40,'Оценка сложности задач'!$A$2:$A$40,C29,'Оценка сложности задач'!$B$2:$B$40,D29))</f>
        <v>0</v>
      </c>
      <c r="F29" s="50"/>
    </row>
    <row r="30" customFormat="false" ht="15" hidden="false" customHeight="false" outlineLevel="0" collapsed="false">
      <c r="A30" s="46" t="s">
        <v>196</v>
      </c>
      <c r="B30" s="41"/>
      <c r="C30" s="47"/>
      <c r="D30" s="47"/>
      <c r="E30" s="48" t="n">
        <f aca="false">IF(OR(C30="",D30=""),0,SUMIFS('Оценка сложности задач'!$G$2:$G$40,'Оценка сложности задач'!$A$2:$A$40,C30,'Оценка сложности задач'!$B$2:$B$40,D30))</f>
        <v>0</v>
      </c>
      <c r="F30" s="50"/>
    </row>
    <row r="31" customFormat="false" ht="15" hidden="false" customHeight="false" outlineLevel="0" collapsed="false">
      <c r="A31" s="46" t="s">
        <v>197</v>
      </c>
      <c r="B31" s="41"/>
      <c r="C31" s="47"/>
      <c r="D31" s="47"/>
      <c r="E31" s="48" t="n">
        <f aca="false">IF(OR(C31="",D31=""),0,SUMIFS('Оценка сложности задач'!$G$2:$G$40,'Оценка сложности задач'!$A$2:$A$40,C31,'Оценка сложности задач'!$B$2:$B$40,D31))</f>
        <v>0</v>
      </c>
      <c r="F31" s="50"/>
    </row>
    <row r="32" customFormat="false" ht="15" hidden="false" customHeight="false" outlineLevel="0" collapsed="false">
      <c r="A32" s="46" t="s">
        <v>198</v>
      </c>
      <c r="B32" s="41"/>
      <c r="C32" s="47"/>
      <c r="D32" s="47"/>
      <c r="E32" s="48" t="n">
        <f aca="false">IF(OR(C32="",D32=""),0,SUMIFS('Оценка сложности задач'!$G$2:$G$40,'Оценка сложности задач'!$A$2:$A$40,C32,'Оценка сложности задач'!$B$2:$B$40,D32))</f>
        <v>0</v>
      </c>
      <c r="F32" s="50"/>
    </row>
    <row r="33" customFormat="false" ht="15" hidden="false" customHeight="false" outlineLevel="0" collapsed="false">
      <c r="A33" s="46" t="s">
        <v>199</v>
      </c>
      <c r="B33" s="41"/>
      <c r="C33" s="47"/>
      <c r="D33" s="47"/>
      <c r="E33" s="48" t="n">
        <f aca="false">IF(OR(C33="",D33=""),0,SUMIFS('Оценка сложности задач'!$G$2:$G$40,'Оценка сложности задач'!$A$2:$A$40,C33,'Оценка сложности задач'!$B$2:$B$40,D33))</f>
        <v>0</v>
      </c>
      <c r="F33" s="50"/>
    </row>
    <row r="34" customFormat="false" ht="15" hidden="false" customHeight="false" outlineLevel="0" collapsed="false">
      <c r="A34" s="46" t="s">
        <v>200</v>
      </c>
      <c r="B34" s="41"/>
      <c r="C34" s="47"/>
      <c r="D34" s="47"/>
      <c r="E34" s="48" t="n">
        <f aca="false">IF(OR(C34="",D34=""),0,SUMIFS('Оценка сложности задач'!$G$2:$G$40,'Оценка сложности задач'!$A$2:$A$40,C34,'Оценка сложности задач'!$B$2:$B$40,D34))</f>
        <v>0</v>
      </c>
      <c r="F34" s="50"/>
    </row>
    <row r="35" customFormat="false" ht="15" hidden="false" customHeight="false" outlineLevel="0" collapsed="false">
      <c r="A35" s="46" t="s">
        <v>201</v>
      </c>
      <c r="B35" s="41"/>
      <c r="C35" s="47"/>
      <c r="D35" s="47"/>
      <c r="E35" s="48" t="n">
        <f aca="false">IF(OR(C35="",D35=""),0,SUMIFS('Оценка сложности задач'!$G$2:$G$40,'Оценка сложности задач'!$A$2:$A$40,C35,'Оценка сложности задач'!$B$2:$B$40,D35))</f>
        <v>0</v>
      </c>
      <c r="F35" s="50"/>
    </row>
    <row r="36" customFormat="false" ht="15" hidden="false" customHeight="false" outlineLevel="0" collapsed="false">
      <c r="A36" s="46" t="s">
        <v>202</v>
      </c>
      <c r="B36" s="41"/>
      <c r="C36" s="47"/>
      <c r="D36" s="47"/>
      <c r="E36" s="48" t="n">
        <f aca="false">IF(OR(C36="",D36=""),0,SUMIFS('Оценка сложности задач'!$G$2:$G$40,'Оценка сложности задач'!$A$2:$A$40,C36,'Оценка сложности задач'!$B$2:$B$40,D36))</f>
        <v>0</v>
      </c>
      <c r="F36" s="50"/>
    </row>
    <row r="37" customFormat="false" ht="15" hidden="false" customHeight="false" outlineLevel="0" collapsed="false">
      <c r="A37" s="46" t="s">
        <v>203</v>
      </c>
      <c r="B37" s="41"/>
      <c r="C37" s="47"/>
      <c r="D37" s="47"/>
      <c r="E37" s="48" t="n">
        <f aca="false">IF(OR(C37="",D37=""),0,SUMIFS('Оценка сложности задач'!$G$2:$G$40,'Оценка сложности задач'!$A$2:$A$40,C37,'Оценка сложности задач'!$B$2:$B$40,D37))</f>
        <v>0</v>
      </c>
      <c r="F37" s="50"/>
    </row>
    <row r="38" customFormat="false" ht="15" hidden="false" customHeight="false" outlineLevel="0" collapsed="false">
      <c r="A38" s="46" t="s">
        <v>204</v>
      </c>
      <c r="B38" s="41"/>
      <c r="C38" s="47"/>
      <c r="D38" s="47"/>
      <c r="E38" s="48" t="n">
        <f aca="false">IF(OR(C38="",D38=""),0,SUMIFS('Оценка сложности задач'!$G$2:$G$40,'Оценка сложности задач'!$A$2:$A$40,C38,'Оценка сложности задач'!$B$2:$B$40,D38))</f>
        <v>0</v>
      </c>
      <c r="F38" s="50"/>
    </row>
    <row r="39" customFormat="false" ht="15" hidden="false" customHeight="false" outlineLevel="0" collapsed="false">
      <c r="A39" s="46" t="s">
        <v>205</v>
      </c>
      <c r="B39" s="51"/>
      <c r="C39" s="47"/>
      <c r="D39" s="47"/>
      <c r="E39" s="48" t="n">
        <f aca="false">IF(OR(C39="",D39=""),0,SUMIFS('Оценка сложности задач'!$G$2:$G$40,'Оценка сложности задач'!$A$2:$A$40,C39,'Оценка сложности задач'!$B$2:$B$40,D39))</f>
        <v>0</v>
      </c>
      <c r="F39" s="50"/>
    </row>
    <row r="40" customFormat="false" ht="15" hidden="false" customHeight="false" outlineLevel="0" collapsed="false">
      <c r="A40" s="46" t="s">
        <v>206</v>
      </c>
      <c r="B40" s="51"/>
      <c r="C40" s="47"/>
      <c r="D40" s="47"/>
      <c r="E40" s="48" t="n">
        <f aca="false">IF(OR(C40="",D40=""),0,SUMIFS('Оценка сложности задач'!$G$2:$G$40,'Оценка сложности задач'!$A$2:$A$40,C40,'Оценка сложности задач'!$B$2:$B$40,D40))</f>
        <v>0</v>
      </c>
      <c r="F40" s="50"/>
    </row>
    <row r="41" customFormat="false" ht="15" hidden="false" customHeight="false" outlineLevel="0" collapsed="false">
      <c r="A41" s="46" t="s">
        <v>207</v>
      </c>
      <c r="B41" s="51"/>
      <c r="C41" s="47"/>
      <c r="D41" s="47"/>
      <c r="E41" s="48" t="n">
        <f aca="false">IF(OR(C41="",D41=""),0,SUMIFS('Оценка сложности задач'!$G$2:$G$40,'Оценка сложности задач'!$A$2:$A$40,C41,'Оценка сложности задач'!$B$2:$B$40,D41))</f>
        <v>0</v>
      </c>
      <c r="F41" s="50"/>
    </row>
    <row r="42" customFormat="false" ht="15" hidden="false" customHeight="false" outlineLevel="0" collapsed="false">
      <c r="A42" s="46" t="s">
        <v>208</v>
      </c>
      <c r="B42" s="51"/>
      <c r="C42" s="47"/>
      <c r="D42" s="47"/>
      <c r="E42" s="48" t="n">
        <f aca="false">IF(OR(C42="",D42=""),0,SUMIFS('Оценка сложности задач'!$G$2:$G$40,'Оценка сложности задач'!$A$2:$A$40,C42,'Оценка сложности задач'!$B$2:$B$40,D42))</f>
        <v>0</v>
      </c>
      <c r="F42" s="50"/>
    </row>
    <row r="43" customFormat="false" ht="15" hidden="false" customHeight="false" outlineLevel="0" collapsed="false">
      <c r="A43" s="46" t="s">
        <v>209</v>
      </c>
      <c r="B43" s="41"/>
      <c r="C43" s="47"/>
      <c r="D43" s="47"/>
      <c r="E43" s="48" t="n">
        <f aca="false">IF(OR(C43="",D43=""),0,SUMIFS('Оценка сложности задач'!$G$2:$G$40,'Оценка сложности задач'!$A$2:$A$40,C43,'Оценка сложности задач'!$B$2:$B$40,D43))</f>
        <v>0</v>
      </c>
      <c r="F43" s="50"/>
    </row>
    <row r="44" customFormat="false" ht="15" hidden="false" customHeight="false" outlineLevel="0" collapsed="false">
      <c r="A44" s="46" t="s">
        <v>210</v>
      </c>
      <c r="B44" s="41"/>
      <c r="C44" s="47"/>
      <c r="D44" s="47"/>
      <c r="E44" s="48" t="n">
        <f aca="false">IF(OR(C44="",D44=""),0,SUMIFS('Оценка сложности задач'!$G$2:$G$40,'Оценка сложности задач'!$A$2:$A$40,C44,'Оценка сложности задач'!$B$2:$B$40,D44))</f>
        <v>0</v>
      </c>
      <c r="F44" s="50"/>
    </row>
    <row r="45" customFormat="false" ht="15" hidden="false" customHeight="false" outlineLevel="0" collapsed="false">
      <c r="A45" s="46" t="s">
        <v>211</v>
      </c>
      <c r="B45" s="41"/>
      <c r="C45" s="47"/>
      <c r="D45" s="47"/>
      <c r="E45" s="48" t="n">
        <f aca="false">IF(OR(C45="",D45=""),0,SUMIFS('Оценка сложности задач'!$G$2:$G$40,'Оценка сложности задач'!$A$2:$A$40,C45,'Оценка сложности задач'!$B$2:$B$40,D45))</f>
        <v>0</v>
      </c>
      <c r="F45" s="50"/>
    </row>
    <row r="46" customFormat="false" ht="15" hidden="false" customHeight="false" outlineLevel="0" collapsed="false">
      <c r="A46" s="46" t="s">
        <v>212</v>
      </c>
      <c r="B46" s="41"/>
      <c r="C46" s="47"/>
      <c r="D46" s="47"/>
      <c r="E46" s="48" t="n">
        <f aca="false">IF(OR(C46="",D46=""),0,SUMIFS('Оценка сложности задач'!$G$2:$G$40,'Оценка сложности задач'!$A$2:$A$40,C46,'Оценка сложности задач'!$B$2:$B$40,D46))</f>
        <v>0</v>
      </c>
      <c r="F46" s="50"/>
    </row>
    <row r="47" customFormat="false" ht="15" hidden="false" customHeight="false" outlineLevel="0" collapsed="false">
      <c r="A47" s="46" t="s">
        <v>213</v>
      </c>
      <c r="B47" s="41"/>
      <c r="C47" s="47"/>
      <c r="D47" s="47"/>
      <c r="E47" s="48" t="n">
        <f aca="false">IF(OR(C47="",D47=""),0,SUMIFS('Оценка сложности задач'!$G$2:$G$40,'Оценка сложности задач'!$A$2:$A$40,C47,'Оценка сложности задач'!$B$2:$B$40,D47))</f>
        <v>0</v>
      </c>
      <c r="F47" s="50"/>
    </row>
    <row r="48" customFormat="false" ht="15" hidden="false" customHeight="false" outlineLevel="0" collapsed="false">
      <c r="A48" s="46" t="s">
        <v>214</v>
      </c>
      <c r="B48" s="41"/>
      <c r="C48" s="47"/>
      <c r="D48" s="47"/>
      <c r="E48" s="48" t="n">
        <f aca="false">IF(OR(C48="",D48=""),0,SUMIFS('Оценка сложности задач'!$G$2:$G$40,'Оценка сложности задач'!$A$2:$A$40,C48,'Оценка сложности задач'!$B$2:$B$40,D48))</f>
        <v>0</v>
      </c>
      <c r="F48" s="50"/>
    </row>
    <row r="49" customFormat="false" ht="15" hidden="false" customHeight="false" outlineLevel="0" collapsed="false">
      <c r="A49" s="46" t="s">
        <v>215</v>
      </c>
      <c r="B49" s="41"/>
      <c r="C49" s="47"/>
      <c r="D49" s="47"/>
      <c r="E49" s="48" t="n">
        <f aca="false">IF(OR(C49="",D49=""),0,SUMIFS('Оценка сложности задач'!$G$2:$G$40,'Оценка сложности задач'!$A$2:$A$40,C49,'Оценка сложности задач'!$B$2:$B$40,D49))</f>
        <v>0</v>
      </c>
      <c r="F49" s="50"/>
    </row>
    <row r="50" customFormat="false" ht="15" hidden="false" customHeight="false" outlineLevel="0" collapsed="false">
      <c r="A50" s="46" t="s">
        <v>216</v>
      </c>
      <c r="B50" s="41"/>
      <c r="C50" s="47"/>
      <c r="D50" s="47"/>
      <c r="E50" s="48" t="n">
        <f aca="false">IF(OR(C50="",D50=""),0,SUMIFS('Оценка сложности задач'!$G$2:$G$40,'Оценка сложности задач'!$A$2:$A$40,C50,'Оценка сложности задач'!$B$2:$B$40,D50))</f>
        <v>0</v>
      </c>
      <c r="F50" s="50"/>
    </row>
    <row r="51" customFormat="false" ht="15" hidden="false" customHeight="false" outlineLevel="0" collapsed="false">
      <c r="A51" s="52" t="s">
        <v>217</v>
      </c>
      <c r="B51" s="52"/>
      <c r="C51" s="52"/>
      <c r="D51" s="52"/>
      <c r="E51" s="53" t="n">
        <f aca="false">SUM(E4:E50)</f>
        <v>318</v>
      </c>
      <c r="F51" s="53" t="n">
        <f aca="false">SUM(F4:F50)</f>
        <v>160</v>
      </c>
      <c r="G51" s="53"/>
    </row>
  </sheetData>
  <mergeCells count="7">
    <mergeCell ref="A1:F1"/>
    <mergeCell ref="A2:A3"/>
    <mergeCell ref="B2:B3"/>
    <mergeCell ref="C2:C3"/>
    <mergeCell ref="D2:D3"/>
    <mergeCell ref="E2:F2"/>
    <mergeCell ref="A51:D51"/>
  </mergeCells>
  <dataValidations count="2">
    <dataValidation allowBlank="true" errorStyle="stop" operator="between" showDropDown="false" showErrorMessage="false" showInputMessage="false" sqref="C4:C50" type="list">
      <formula1>Справочники!$B$2:$B$14</formula1>
      <formula2>0</formula2>
    </dataValidation>
    <dataValidation allowBlank="true" errorStyle="stop" operator="between" showDropDown="false" showErrorMessage="false" showInputMessage="false" sqref="D4:D50" type="list">
      <formula1>Справочники!$A$2:$A$5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false"/>
  </sheetPr>
  <dimension ref="A1:J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54" width="3.14"/>
    <col collapsed="false" customWidth="true" hidden="false" outlineLevel="0" max="2" min="2" style="54" width="13.57"/>
    <col collapsed="false" customWidth="true" hidden="false" outlineLevel="0" max="3" min="3" style="54" width="4.28"/>
    <col collapsed="false" customWidth="true" hidden="false" outlineLevel="0" max="4" min="4" style="55" width="28.71"/>
    <col collapsed="false" customWidth="true" hidden="false" outlineLevel="0" max="5" min="5" style="56" width="9.71"/>
    <col collapsed="false" customWidth="true" hidden="false" outlineLevel="0" max="6" min="6" style="56" width="13.43"/>
    <col collapsed="false" customWidth="true" hidden="false" outlineLevel="0" max="7" min="7" style="57" width="13.86"/>
    <col collapsed="false" customWidth="true" hidden="false" outlineLevel="0" max="8" min="8" style="55" width="18.71"/>
    <col collapsed="false" customWidth="true" hidden="false" outlineLevel="0" max="9" min="9" style="55" width="11.29"/>
    <col collapsed="false" customWidth="false" hidden="false" outlineLevel="0" max="16384" min="10" style="55" width="9.14"/>
  </cols>
  <sheetData>
    <row r="1" customFormat="false" ht="30" hidden="false" customHeight="true" outlineLevel="0" collapsed="false">
      <c r="A1" s="58" t="s">
        <v>271</v>
      </c>
      <c r="B1" s="58"/>
      <c r="C1" s="58"/>
      <c r="D1" s="58"/>
      <c r="E1" s="58"/>
      <c r="F1" s="58"/>
      <c r="G1" s="58"/>
    </row>
    <row r="2" customFormat="false" ht="15" hidden="false" customHeight="false" outlineLevel="0" collapsed="false">
      <c r="A2" s="58"/>
      <c r="B2" s="58"/>
      <c r="C2" s="58"/>
      <c r="D2" s="58"/>
      <c r="E2" s="58"/>
      <c r="F2" s="58"/>
    </row>
    <row r="3" customFormat="false" ht="15" hidden="false" customHeight="true" outlineLevel="0" collapsed="false">
      <c r="A3" s="59" t="s">
        <v>1</v>
      </c>
      <c r="B3" s="59"/>
      <c r="C3" s="59"/>
      <c r="D3" s="59"/>
      <c r="E3" s="59"/>
      <c r="F3" s="59"/>
      <c r="G3" s="59"/>
    </row>
    <row r="4" s="64" customFormat="true" ht="15" hidden="false" customHeight="true" outlineLevel="0" collapsed="false">
      <c r="A4" s="60" t="s">
        <v>219</v>
      </c>
      <c r="B4" s="60"/>
      <c r="C4" s="60"/>
      <c r="D4" s="60"/>
      <c r="E4" s="60"/>
      <c r="F4" s="61" t="n">
        <v>3540.98</v>
      </c>
      <c r="G4" s="61"/>
      <c r="H4" s="62"/>
      <c r="I4" s="63"/>
      <c r="J4" s="63"/>
    </row>
    <row r="5" s="69" customFormat="true" ht="54.75" hidden="false" customHeight="true" outlineLevel="0" collapsed="false">
      <c r="A5" s="65" t="s">
        <v>2</v>
      </c>
      <c r="B5" s="65" t="s">
        <v>220</v>
      </c>
      <c r="C5" s="66" t="s">
        <v>221</v>
      </c>
      <c r="D5" s="66"/>
      <c r="E5" s="66" t="s">
        <v>222</v>
      </c>
      <c r="F5" s="66" t="s">
        <v>223</v>
      </c>
      <c r="G5" s="67" t="s">
        <v>11</v>
      </c>
      <c r="H5" s="68"/>
      <c r="J5" s="70"/>
    </row>
    <row r="6" customFormat="false" ht="50.25" hidden="false" customHeight="true" outlineLevel="0" collapsed="false">
      <c r="A6" s="71" t="s">
        <v>28</v>
      </c>
      <c r="B6" s="72" t="s">
        <v>224</v>
      </c>
      <c r="C6" s="73" t="s">
        <v>225</v>
      </c>
      <c r="D6" s="73"/>
      <c r="E6" s="74" t="n">
        <v>12</v>
      </c>
      <c r="F6" s="75" t="n">
        <f aca="false">E6*$F$4</f>
        <v>42491.76</v>
      </c>
      <c r="G6" s="76" t="n">
        <f aca="false">ROUNDUP((E6+E7)/8,0)</f>
        <v>4</v>
      </c>
    </row>
    <row r="7" customFormat="false" ht="35.25" hidden="false" customHeight="true" outlineLevel="0" collapsed="false">
      <c r="A7" s="71"/>
      <c r="B7" s="71"/>
      <c r="C7" s="73" t="s">
        <v>224</v>
      </c>
      <c r="D7" s="73"/>
      <c r="E7" s="74" t="n">
        <v>16</v>
      </c>
      <c r="F7" s="75" t="n">
        <f aca="false">E7*$F$4</f>
        <v>56655.68</v>
      </c>
      <c r="G7" s="76"/>
    </row>
    <row r="8" customFormat="false" ht="68.25" hidden="false" customHeight="true" outlineLevel="0" collapsed="false">
      <c r="A8" s="77" t="s">
        <v>36</v>
      </c>
      <c r="B8" s="71" t="s">
        <v>226</v>
      </c>
      <c r="C8" s="73" t="s">
        <v>227</v>
      </c>
      <c r="D8" s="73"/>
      <c r="E8" s="75" t="n">
        <f aca="false">SUM(E9:E33)</f>
        <v>160</v>
      </c>
      <c r="F8" s="75" t="n">
        <f aca="false">E8*$F$4</f>
        <v>566556.8</v>
      </c>
      <c r="G8" s="78" t="n">
        <f aca="false">ROUNDUP(E8/8,0)</f>
        <v>20</v>
      </c>
    </row>
    <row r="9" customFormat="false" ht="68.65" hidden="false" customHeight="false" outlineLevel="0" collapsed="false">
      <c r="A9" s="77"/>
      <c r="B9" s="77"/>
      <c r="C9" s="46" t="s">
        <v>28</v>
      </c>
      <c r="D9" s="41" t="str">
        <f aca="false">'Настройка Р3'!B4</f>
        <v>Аналитика разработчика: разбор новой таблицы мнемосхемы и раздела энергетики, описание API после обследования</v>
      </c>
      <c r="E9" s="79" t="n">
        <f aca="false">'Настройка Р3'!F4</f>
        <v>16</v>
      </c>
      <c r="F9" s="75"/>
      <c r="G9" s="78"/>
    </row>
    <row r="10" customFormat="false" ht="45" hidden="false" customHeight="true" outlineLevel="0" collapsed="false">
      <c r="A10" s="77"/>
      <c r="B10" s="77"/>
      <c r="C10" s="46" t="s">
        <v>36</v>
      </c>
      <c r="D10" s="41" t="str">
        <f aca="false">'Настройка Р3'!B5</f>
        <v>Справочник соответствия «показатель API → строка таблицы мнемосхемы / энергетики» (до 60 строк), вынесен в настраиваемый файл</v>
      </c>
      <c r="E10" s="79" t="n">
        <f aca="false">'Настройка Р3'!F5</f>
        <v>8</v>
      </c>
      <c r="F10" s="75"/>
      <c r="G10" s="78"/>
    </row>
    <row r="11" customFormat="false" ht="60" hidden="false" customHeight="true" outlineLevel="0" collapsed="false">
      <c r="A11" s="77"/>
      <c r="B11" s="77"/>
      <c r="C11" s="46" t="s">
        <v>39</v>
      </c>
      <c r="D11" s="41" t="str">
        <f aca="false">'Настройка Р3'!B6</f>
        <v>Запрос и разбор данных мнемосхемы (до 50 показателей, метки времени) — формат API не определён</v>
      </c>
      <c r="E11" s="79" t="n">
        <f aca="false">'Настройка Р3'!F6</f>
        <v>24</v>
      </c>
      <c r="F11" s="75"/>
      <c r="G11" s="78"/>
    </row>
    <row r="12" customFormat="false" ht="120" hidden="false" customHeight="true" outlineLevel="0" collapsed="false">
      <c r="A12" s="77"/>
      <c r="B12" s="77"/>
      <c r="C12" s="46" t="s">
        <v>41</v>
      </c>
      <c r="D12" s="41" t="str">
        <f aca="false">'Настройка Р3'!B7</f>
        <v>Запрос и разбор данных энергетики (до 10 показателей)</v>
      </c>
      <c r="E12" s="79" t="n">
        <f aca="false">'Настройка Р3'!F7</f>
        <v>12</v>
      </c>
      <c r="F12" s="75"/>
      <c r="G12" s="78"/>
    </row>
    <row r="13" customFormat="false" ht="90" hidden="false" customHeight="true" outlineLevel="0" collapsed="false">
      <c r="A13" s="77"/>
      <c r="B13" s="77"/>
      <c r="C13" s="46" t="s">
        <v>43</v>
      </c>
      <c r="D13" s="41" t="str">
        <f aca="false">'Настройка Р3'!B8</f>
        <v>Валидация: актуальность метки времени, допустимые диапазоны, NULL</v>
      </c>
      <c r="E13" s="79" t="n">
        <f aca="false">'Настройка Р3'!F8</f>
        <v>10</v>
      </c>
      <c r="F13" s="75"/>
      <c r="G13" s="78"/>
    </row>
    <row r="14" customFormat="false" ht="30" hidden="false" customHeight="true" outlineLevel="0" collapsed="false">
      <c r="A14" s="77"/>
      <c r="B14" s="77"/>
      <c r="C14" s="46" t="s">
        <v>45</v>
      </c>
      <c r="D14" s="41" t="str">
        <f aca="false">'Настройка Р3'!B9</f>
        <v>Навигация в ЦОМ: страница блока 09-2/09 → вкладка «Схема» → табличная часть, выбор даты и среза (интервала)</v>
      </c>
      <c r="E14" s="79" t="n">
        <f aca="false">'Настройка Р3'!F9</f>
        <v>10</v>
      </c>
      <c r="F14" s="75"/>
      <c r="G14" s="78"/>
    </row>
    <row r="15" customFormat="false" ht="30" hidden="false" customHeight="true" outlineLevel="0" collapsed="false">
      <c r="A15" s="77"/>
      <c r="B15" s="77"/>
      <c r="C15" s="46" t="s">
        <v>47</v>
      </c>
      <c r="D15" s="41" t="str">
        <f aca="false">'Настройка Р3'!B10</f>
        <v>Внесение до 50 значений в табличную часть мнемосхемы, сохранение</v>
      </c>
      <c r="E15" s="79" t="n">
        <f aca="false">'Настройка Р3'!F10</f>
        <v>20</v>
      </c>
      <c r="F15" s="75"/>
      <c r="G15" s="78"/>
    </row>
    <row r="16" customFormat="false" ht="60" hidden="false" customHeight="true" outlineLevel="0" collapsed="false">
      <c r="A16" s="77"/>
      <c r="B16" s="77"/>
      <c r="C16" s="46" t="s">
        <v>49</v>
      </c>
      <c r="D16" s="41" t="str">
        <f aca="false">'Настройка Р3'!B11</f>
        <v>Навигация и внесение показателей энергетики (Инфраструктура → вводные данные / суточная сводка)</v>
      </c>
      <c r="E16" s="79" t="n">
        <f aca="false">'Настройка Р3'!F11</f>
        <v>16</v>
      </c>
      <c r="F16" s="75"/>
      <c r="G16" s="78"/>
    </row>
    <row r="17" customFormat="false" ht="30" hidden="false" customHeight="true" outlineLevel="0" collapsed="false">
      <c r="A17" s="77"/>
      <c r="B17" s="77"/>
      <c r="C17" s="46" t="s">
        <v>51</v>
      </c>
      <c r="D17" s="41" t="str">
        <f aca="false">'Настройка Р3'!B12</f>
        <v>Контроль внесения: сверка с API</v>
      </c>
      <c r="E17" s="79" t="n">
        <f aca="false">'Настройка Р3'!F12</f>
        <v>8</v>
      </c>
      <c r="F17" s="75"/>
      <c r="G17" s="78"/>
    </row>
    <row r="18" customFormat="false" ht="30" hidden="false" customHeight="true" outlineLevel="0" collapsed="false">
      <c r="A18" s="77"/>
      <c r="B18" s="77"/>
      <c r="C18" s="46" t="s">
        <v>53</v>
      </c>
      <c r="D18" s="41" t="str">
        <f aca="false">'Настройка Р3'!B13</f>
        <v>Защита от параллельных запусков, контроль длительности цикла (&lt; 15 мин), догрузка пропущенных интервалов</v>
      </c>
      <c r="E18" s="79" t="n">
        <f aca="false">'Настройка Р3'!F13</f>
        <v>12</v>
      </c>
      <c r="F18" s="75"/>
      <c r="G18" s="78"/>
    </row>
    <row r="19" customFormat="false" ht="30" hidden="false" customHeight="true" outlineLevel="0" collapsed="false">
      <c r="A19" s="77"/>
      <c r="B19" s="77"/>
      <c r="C19" s="46" t="s">
        <v>170</v>
      </c>
      <c r="D19" s="41" t="str">
        <f aca="false">'Настройка Р3'!B14</f>
        <v>Сводный отчёт о работе за сутки (вместо отчёта на каждый запуск)</v>
      </c>
      <c r="E19" s="79" t="n">
        <f aca="false">'Настройка Р3'!F14</f>
        <v>4</v>
      </c>
      <c r="F19" s="75"/>
      <c r="G19" s="78"/>
    </row>
    <row r="20" customFormat="false" ht="30" hidden="false" customHeight="true" outlineLevel="0" collapsed="false">
      <c r="A20" s="77"/>
      <c r="B20" s="77"/>
      <c r="C20" s="46" t="s">
        <v>172</v>
      </c>
      <c r="D20" s="41" t="str">
        <f aca="false">'Настройка Р3'!B15</f>
        <v>Письма только при ошибках / пропуске интервала</v>
      </c>
      <c r="E20" s="79" t="n">
        <f aca="false">'Настройка Р3'!F15</f>
        <v>4</v>
      </c>
      <c r="F20" s="75"/>
      <c r="G20" s="78"/>
    </row>
    <row r="21" customFormat="false" ht="28.35" hidden="false" customHeight="false" outlineLevel="0" collapsed="false">
      <c r="A21" s="77"/>
      <c r="B21" s="77"/>
      <c r="C21" s="46" t="s">
        <v>174</v>
      </c>
      <c r="D21" s="41" t="str">
        <f aca="false">'Настройка Р3'!B16</f>
        <v>Обработка исключений, логирование</v>
      </c>
      <c r="E21" s="79" t="n">
        <f aca="false">'Настройка Р3'!F16</f>
        <v>8</v>
      </c>
      <c r="F21" s="75"/>
      <c r="G21" s="78"/>
    </row>
    <row r="22" customFormat="false" ht="15" hidden="false" customHeight="false" outlineLevel="0" collapsed="false">
      <c r="A22" s="77"/>
      <c r="B22" s="77"/>
      <c r="C22" s="46" t="s">
        <v>176</v>
      </c>
      <c r="D22" s="41" t="str">
        <f aca="false">'Настройка Р3'!B17</f>
        <v>Хотелки заказчика</v>
      </c>
      <c r="E22" s="80" t="n">
        <f aca="false">'Настройка Р3'!F17</f>
        <v>8</v>
      </c>
      <c r="F22" s="75"/>
      <c r="G22" s="78"/>
    </row>
    <row r="23" customFormat="false" ht="15" hidden="false" customHeight="false" outlineLevel="0" collapsed="false">
      <c r="A23" s="77"/>
      <c r="B23" s="77"/>
      <c r="C23" s="46"/>
      <c r="D23" s="41"/>
      <c r="E23" s="50"/>
      <c r="F23" s="75"/>
      <c r="G23" s="78"/>
    </row>
    <row r="24" customFormat="false" ht="15" hidden="false" customHeight="false" outlineLevel="0" collapsed="false">
      <c r="A24" s="77"/>
      <c r="B24" s="77"/>
      <c r="C24" s="46"/>
      <c r="D24" s="41"/>
      <c r="E24" s="50"/>
      <c r="F24" s="75"/>
      <c r="G24" s="78"/>
    </row>
    <row r="25" customFormat="false" ht="15" hidden="false" customHeight="false" outlineLevel="0" collapsed="false">
      <c r="A25" s="77"/>
      <c r="B25" s="77"/>
      <c r="C25" s="46"/>
      <c r="D25" s="41"/>
      <c r="E25" s="50"/>
      <c r="F25" s="75"/>
      <c r="G25" s="78"/>
    </row>
    <row r="26" customFormat="false" ht="15" hidden="false" customHeight="false" outlineLevel="0" collapsed="false">
      <c r="A26" s="77"/>
      <c r="B26" s="77"/>
      <c r="C26" s="46"/>
      <c r="D26" s="41"/>
      <c r="E26" s="50"/>
      <c r="F26" s="75"/>
      <c r="G26" s="78"/>
    </row>
    <row r="27" customFormat="false" ht="15" hidden="false" customHeight="false" outlineLevel="0" collapsed="false">
      <c r="A27" s="77"/>
      <c r="B27" s="77"/>
      <c r="C27" s="46"/>
      <c r="D27" s="41"/>
      <c r="E27" s="50"/>
      <c r="F27" s="75"/>
      <c r="G27" s="78"/>
    </row>
    <row r="28" customFormat="false" ht="15" hidden="false" customHeight="false" outlineLevel="0" collapsed="false">
      <c r="A28" s="77"/>
      <c r="B28" s="77"/>
      <c r="C28" s="46"/>
      <c r="D28" s="41"/>
      <c r="E28" s="50"/>
      <c r="F28" s="75"/>
      <c r="G28" s="78"/>
    </row>
    <row r="29" customFormat="false" ht="15" hidden="false" customHeight="false" outlineLevel="0" collapsed="false">
      <c r="A29" s="77"/>
      <c r="B29" s="77"/>
      <c r="C29" s="46"/>
      <c r="D29" s="41"/>
      <c r="E29" s="50"/>
      <c r="F29" s="75"/>
      <c r="G29" s="78"/>
    </row>
    <row r="30" customFormat="false" ht="13.5" hidden="false" customHeight="true" outlineLevel="0" collapsed="false">
      <c r="A30" s="77"/>
      <c r="B30" s="77"/>
      <c r="C30" s="46"/>
      <c r="D30" s="81"/>
      <c r="E30" s="75"/>
      <c r="F30" s="75"/>
      <c r="G30" s="78"/>
    </row>
    <row r="31" customFormat="false" ht="13.5" hidden="false" customHeight="true" outlineLevel="0" collapsed="false">
      <c r="A31" s="77"/>
      <c r="B31" s="77"/>
      <c r="C31" s="46"/>
      <c r="D31" s="81"/>
      <c r="E31" s="75"/>
      <c r="F31" s="75"/>
      <c r="G31" s="78"/>
    </row>
    <row r="32" customFormat="false" ht="13.5" hidden="false" customHeight="true" outlineLevel="0" collapsed="false">
      <c r="A32" s="77"/>
      <c r="B32" s="77"/>
      <c r="C32" s="46"/>
      <c r="D32" s="81"/>
      <c r="E32" s="75"/>
      <c r="F32" s="75"/>
      <c r="G32" s="78"/>
    </row>
    <row r="33" customFormat="false" ht="13.5" hidden="false" customHeight="true" outlineLevel="0" collapsed="false">
      <c r="A33" s="77"/>
      <c r="B33" s="77"/>
      <c r="C33" s="46"/>
      <c r="D33" s="81"/>
      <c r="E33" s="75"/>
      <c r="F33" s="75"/>
      <c r="G33" s="78"/>
    </row>
    <row r="34" customFormat="false" ht="81.75" hidden="false" customHeight="true" outlineLevel="0" collapsed="false">
      <c r="A34" s="77"/>
      <c r="B34" s="71"/>
      <c r="C34" s="73" t="s">
        <v>228</v>
      </c>
      <c r="D34" s="73"/>
      <c r="E34" s="74" t="n">
        <v>20</v>
      </c>
      <c r="F34" s="75" t="n">
        <f aca="false">E34*$F$4</f>
        <v>70819.6</v>
      </c>
      <c r="G34" s="82" t="n">
        <f aca="false">ROUNDUP((E34+E35+E36)/8/0.3,0)</f>
        <v>15</v>
      </c>
    </row>
    <row r="35" customFormat="false" ht="67.5" hidden="false" customHeight="true" outlineLevel="0" collapsed="false">
      <c r="A35" s="77"/>
      <c r="B35" s="83" t="s">
        <v>229</v>
      </c>
      <c r="C35" s="73" t="s">
        <v>230</v>
      </c>
      <c r="D35" s="73"/>
      <c r="E35" s="74" t="n">
        <v>10</v>
      </c>
      <c r="F35" s="75" t="n">
        <f aca="false">E35*$F$4</f>
        <v>35409.8</v>
      </c>
      <c r="G35" s="82"/>
    </row>
    <row r="36" customFormat="false" ht="48.75" hidden="false" customHeight="true" outlineLevel="0" collapsed="false">
      <c r="A36" s="77"/>
      <c r="B36" s="83"/>
      <c r="C36" s="73" t="s">
        <v>231</v>
      </c>
      <c r="D36" s="73"/>
      <c r="E36" s="74" t="n">
        <v>4</v>
      </c>
      <c r="F36" s="75" t="n">
        <f aca="false">E36*$F$4</f>
        <v>14163.92</v>
      </c>
      <c r="G36" s="82"/>
    </row>
    <row r="37" customFormat="false" ht="46.5" hidden="false" customHeight="true" outlineLevel="0" collapsed="false">
      <c r="A37" s="71" t="s">
        <v>39</v>
      </c>
      <c r="B37" s="72" t="s">
        <v>232</v>
      </c>
      <c r="C37" s="73" t="s">
        <v>233</v>
      </c>
      <c r="D37" s="73"/>
      <c r="E37" s="74" t="n">
        <v>10</v>
      </c>
      <c r="F37" s="75" t="n">
        <f aca="false">E37*$F$4</f>
        <v>35409.8</v>
      </c>
      <c r="G37" s="82" t="n">
        <f aca="false">ROUNDUP((E37+E38+E39)/8/0.5,0)</f>
        <v>9</v>
      </c>
    </row>
    <row r="38" customFormat="false" ht="48.75" hidden="false" customHeight="true" outlineLevel="0" collapsed="false">
      <c r="A38" s="71"/>
      <c r="B38" s="71"/>
      <c r="C38" s="73" t="s">
        <v>234</v>
      </c>
      <c r="D38" s="73"/>
      <c r="E38" s="74" t="n">
        <v>20</v>
      </c>
      <c r="F38" s="75" t="n">
        <f aca="false">E38*$F$4</f>
        <v>70819.6</v>
      </c>
      <c r="G38" s="82"/>
    </row>
    <row r="39" customFormat="false" ht="45" hidden="false" customHeight="true" outlineLevel="0" collapsed="false">
      <c r="A39" s="71"/>
      <c r="B39" s="71"/>
      <c r="C39" s="73" t="s">
        <v>235</v>
      </c>
      <c r="D39" s="73"/>
      <c r="E39" s="74" t="n">
        <v>6</v>
      </c>
      <c r="F39" s="75" t="n">
        <f aca="false">E39*$F$4</f>
        <v>21245.88</v>
      </c>
      <c r="G39" s="82"/>
      <c r="H39" s="12" t="s">
        <v>236</v>
      </c>
      <c r="I39" s="84" t="n">
        <f aca="false">E6+E7+E8+SUM(E34:E39)</f>
        <v>258</v>
      </c>
    </row>
    <row r="40" s="87" customFormat="true" ht="15" hidden="false" customHeight="true" outlineLevel="0" collapsed="false">
      <c r="A40" s="85" t="s">
        <v>237</v>
      </c>
      <c r="B40" s="85"/>
      <c r="C40" s="85"/>
      <c r="D40" s="85"/>
      <c r="E40" s="85"/>
      <c r="F40" s="85" t="n">
        <f aca="false">SUM(F6:F39)</f>
        <v>913572.84</v>
      </c>
      <c r="G40" s="86" t="n">
        <f aca="false">SUM(G6:G39)</f>
        <v>48</v>
      </c>
      <c r="H40" s="55"/>
      <c r="I40" s="55"/>
      <c r="J40" s="55"/>
    </row>
    <row r="41" s="87" customFormat="true" ht="14.25" hidden="false" customHeight="true" outlineLevel="0" collapsed="false">
      <c r="A41" s="88" t="s">
        <v>238</v>
      </c>
      <c r="B41" s="88"/>
      <c r="C41" s="88"/>
      <c r="D41" s="88"/>
      <c r="E41" s="88"/>
      <c r="F41" s="87" t="n">
        <f aca="false">F40*1.22</f>
        <v>1114558.8648</v>
      </c>
      <c r="G41" s="89"/>
    </row>
    <row r="42" customFormat="false" ht="51" hidden="false" customHeight="true" outlineLevel="0" collapsed="false">
      <c r="A42" s="90"/>
      <c r="B42" s="90"/>
      <c r="C42" s="90"/>
      <c r="D42" s="90"/>
      <c r="E42" s="90"/>
      <c r="F42" s="90"/>
      <c r="G42" s="90"/>
    </row>
  </sheetData>
  <mergeCells count="29">
    <mergeCell ref="A1:G1"/>
    <mergeCell ref="A2:F2"/>
    <mergeCell ref="A3:G3"/>
    <mergeCell ref="A4:E4"/>
    <mergeCell ref="F4:G4"/>
    <mergeCell ref="C5:D5"/>
    <mergeCell ref="A6:A7"/>
    <mergeCell ref="B6:B7"/>
    <mergeCell ref="C6:D6"/>
    <mergeCell ref="G6:G7"/>
    <mergeCell ref="C7:D7"/>
    <mergeCell ref="A8:A36"/>
    <mergeCell ref="B8:B34"/>
    <mergeCell ref="C8:D8"/>
    <mergeCell ref="F8:F33"/>
    <mergeCell ref="G8:G33"/>
    <mergeCell ref="C34:D34"/>
    <mergeCell ref="G34:G36"/>
    <mergeCell ref="B35:B36"/>
    <mergeCell ref="C35:D35"/>
    <mergeCell ref="C36:D36"/>
    <mergeCell ref="A37:A39"/>
    <mergeCell ref="B37:B39"/>
    <mergeCell ref="C37:D37"/>
    <mergeCell ref="G37:G39"/>
    <mergeCell ref="C38:D38"/>
    <mergeCell ref="C39:D39"/>
    <mergeCell ref="A40:E40"/>
    <mergeCell ref="A41:E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52"/>
  <sheetViews>
    <sheetView showFormulas="false" showGridLines="true" showRowColHeaders="true" showZeros="true" rightToLeft="false" tabSelected="false" showOutlineSymbols="true" defaultGridColor="true" view="normal" topLeftCell="A21" colorId="64" zoomScale="95" zoomScaleNormal="95" zoomScalePageLayoutView="100" workbookViewId="0">
      <selection pane="topLeft" activeCell="C38" activeCellId="0" sqref="C38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25.86"/>
    <col collapsed="false" customWidth="true" hidden="false" outlineLevel="0" max="2" min="2" style="0" width="12.43"/>
    <col collapsed="false" customWidth="true" hidden="false" outlineLevel="0" max="3" min="3" style="91" width="82.43"/>
    <col collapsed="false" customWidth="true" hidden="false" outlineLevel="0" max="4" min="4" style="0" width="11.14"/>
    <col collapsed="false" customWidth="true" hidden="false" outlineLevel="0" max="5" min="5" style="0" width="13.14"/>
    <col collapsed="false" customWidth="true" hidden="false" outlineLevel="0" max="6" min="6" style="0" width="13.72"/>
    <col collapsed="false" customWidth="true" hidden="false" outlineLevel="0" max="7" min="7" style="0" width="10.29"/>
    <col collapsed="false" customWidth="true" hidden="false" outlineLevel="0" max="8" min="8" style="0" width="6.86"/>
    <col collapsed="false" customWidth="true" hidden="false" outlineLevel="0" max="9" min="9" style="0" width="2.43"/>
    <col collapsed="false" customWidth="true" hidden="false" outlineLevel="0" max="10" min="10" style="0" width="4.86"/>
    <col collapsed="false" customWidth="true" hidden="false" outlineLevel="0" max="11" min="11" style="91" width="59.28"/>
  </cols>
  <sheetData>
    <row r="1" customFormat="false" ht="45" hidden="false" customHeight="true" outlineLevel="0" collapsed="false">
      <c r="A1" s="92" t="s">
        <v>149</v>
      </c>
      <c r="B1" s="92" t="s">
        <v>150</v>
      </c>
      <c r="C1" s="93" t="s">
        <v>272</v>
      </c>
      <c r="D1" s="93" t="s">
        <v>273</v>
      </c>
      <c r="E1" s="93" t="s">
        <v>274</v>
      </c>
      <c r="F1" s="93" t="s">
        <v>275</v>
      </c>
      <c r="G1" s="93" t="s">
        <v>276</v>
      </c>
      <c r="H1" s="92" t="s">
        <v>277</v>
      </c>
      <c r="I1" s="92" t="s">
        <v>278</v>
      </c>
      <c r="J1" s="92" t="s">
        <v>279</v>
      </c>
      <c r="K1" s="91" t="s">
        <v>280</v>
      </c>
      <c r="L1" s="0" t="n">
        <v>5</v>
      </c>
    </row>
    <row r="2" customFormat="false" ht="40.5" hidden="false" customHeight="true" outlineLevel="0" collapsed="false">
      <c r="A2" s="94" t="s">
        <v>156</v>
      </c>
      <c r="B2" s="95" t="s">
        <v>165</v>
      </c>
      <c r="C2" s="96" t="s">
        <v>281</v>
      </c>
      <c r="D2" s="97" t="n">
        <v>4</v>
      </c>
      <c r="E2" s="97" t="n">
        <v>0</v>
      </c>
      <c r="F2" s="97" t="n">
        <f aca="false">ROUNDUP((D2+E2)/3,0)</f>
        <v>2</v>
      </c>
      <c r="G2" s="97" t="n">
        <f aca="false">SUM(D2:F2)</f>
        <v>6</v>
      </c>
      <c r="H2" s="98" t="n">
        <v>1</v>
      </c>
      <c r="I2" s="98" t="n">
        <f aca="false">E2/G2</f>
        <v>0</v>
      </c>
      <c r="J2" s="98" t="n">
        <v>0</v>
      </c>
      <c r="K2" s="91" t="s">
        <v>282</v>
      </c>
    </row>
    <row r="3" customFormat="false" ht="33.75" hidden="false" customHeight="true" outlineLevel="0" collapsed="false">
      <c r="A3" s="94" t="s">
        <v>156</v>
      </c>
      <c r="B3" s="95" t="s">
        <v>157</v>
      </c>
      <c r="C3" s="96" t="s">
        <v>283</v>
      </c>
      <c r="D3" s="97" t="n">
        <v>12</v>
      </c>
      <c r="E3" s="97" t="n">
        <v>0</v>
      </c>
      <c r="F3" s="97" t="n">
        <f aca="false">ROUNDUP((D3+E3)/3,0)</f>
        <v>4</v>
      </c>
      <c r="G3" s="97" t="n">
        <f aca="false">SUM(D3:F3)</f>
        <v>16</v>
      </c>
      <c r="H3" s="98" t="n">
        <v>1</v>
      </c>
      <c r="I3" s="98" t="n">
        <f aca="false">E3/G3</f>
        <v>0</v>
      </c>
      <c r="J3" s="98" t="n">
        <v>0</v>
      </c>
      <c r="K3" s="91" t="s">
        <v>282</v>
      </c>
    </row>
    <row r="4" customFormat="false" ht="48.75" hidden="false" customHeight="true" outlineLevel="0" collapsed="false">
      <c r="A4" s="94" t="s">
        <v>156</v>
      </c>
      <c r="B4" s="95" t="s">
        <v>161</v>
      </c>
      <c r="C4" s="96" t="s">
        <v>284</v>
      </c>
      <c r="D4" s="97" t="n">
        <v>24</v>
      </c>
      <c r="E4" s="97" t="n">
        <v>0</v>
      </c>
      <c r="F4" s="97" t="n">
        <f aca="false">ROUNDUP((D4+E4)/3,0)</f>
        <v>8</v>
      </c>
      <c r="G4" s="97" t="n">
        <f aca="false">SUM(D4:F4)</f>
        <v>32</v>
      </c>
      <c r="H4" s="98" t="n">
        <v>1</v>
      </c>
      <c r="I4" s="98" t="n">
        <f aca="false">E4/G4</f>
        <v>0</v>
      </c>
      <c r="J4" s="98" t="n">
        <v>0</v>
      </c>
      <c r="K4" s="91" t="s">
        <v>282</v>
      </c>
    </row>
    <row r="5" customFormat="false" ht="120" hidden="false" customHeight="true" outlineLevel="0" collapsed="false">
      <c r="A5" s="94" t="s">
        <v>164</v>
      </c>
      <c r="B5" s="95" t="s">
        <v>165</v>
      </c>
      <c r="C5" s="96" t="s">
        <v>285</v>
      </c>
      <c r="D5" s="97" t="n">
        <v>4</v>
      </c>
      <c r="E5" s="97" t="n">
        <v>0</v>
      </c>
      <c r="F5" s="97" t="n">
        <f aca="false">ROUNDUP((D5+E5)/3,0)</f>
        <v>2</v>
      </c>
      <c r="G5" s="97" t="n">
        <f aca="false">SUM(D5:F5)</f>
        <v>6</v>
      </c>
      <c r="H5" s="98" t="n">
        <v>1</v>
      </c>
      <c r="I5" s="98" t="n">
        <f aca="false">E5/G5</f>
        <v>0</v>
      </c>
      <c r="J5" s="98" t="n">
        <v>0</v>
      </c>
      <c r="K5" s="91" t="s">
        <v>282</v>
      </c>
    </row>
    <row r="6" customFormat="false" ht="120" hidden="false" customHeight="true" outlineLevel="0" collapsed="false">
      <c r="A6" s="94" t="s">
        <v>164</v>
      </c>
      <c r="B6" s="95" t="s">
        <v>157</v>
      </c>
      <c r="C6" s="96" t="s">
        <v>286</v>
      </c>
      <c r="D6" s="97" t="n">
        <v>10</v>
      </c>
      <c r="E6" s="97" t="n">
        <v>0</v>
      </c>
      <c r="F6" s="97" t="n">
        <f aca="false">ROUNDUP((D6+E6)/3,0)</f>
        <v>4</v>
      </c>
      <c r="G6" s="97" t="n">
        <f aca="false">SUM(D6:F6)</f>
        <v>14</v>
      </c>
      <c r="H6" s="98" t="n">
        <v>1</v>
      </c>
      <c r="I6" s="98" t="n">
        <f aca="false">E6/G6</f>
        <v>0</v>
      </c>
      <c r="J6" s="98" t="n">
        <v>0</v>
      </c>
      <c r="K6" s="91" t="s">
        <v>287</v>
      </c>
    </row>
    <row r="7" customFormat="false" ht="120" hidden="false" customHeight="true" outlineLevel="0" collapsed="false">
      <c r="A7" s="94" t="s">
        <v>164</v>
      </c>
      <c r="B7" s="95" t="s">
        <v>161</v>
      </c>
      <c r="C7" s="96" t="s">
        <v>288</v>
      </c>
      <c r="D7" s="97" t="n">
        <v>24</v>
      </c>
      <c r="E7" s="97" t="n">
        <v>0</v>
      </c>
      <c r="F7" s="97" t="n">
        <f aca="false">ROUNDUP((D7+E7)/3,0)</f>
        <v>8</v>
      </c>
      <c r="G7" s="97" t="n">
        <f aca="false">SUM(D7:F7)</f>
        <v>32</v>
      </c>
      <c r="H7" s="98" t="n">
        <v>1</v>
      </c>
      <c r="I7" s="98" t="n">
        <f aca="false">E7/G7</f>
        <v>0</v>
      </c>
      <c r="J7" s="98" t="n">
        <v>0</v>
      </c>
      <c r="K7" s="91" t="s">
        <v>282</v>
      </c>
    </row>
    <row r="8" customFormat="false" ht="30" hidden="false" customHeight="true" outlineLevel="0" collapsed="false">
      <c r="A8" s="94" t="s">
        <v>289</v>
      </c>
      <c r="B8" s="95" t="s">
        <v>165</v>
      </c>
      <c r="C8" s="96" t="s">
        <v>290</v>
      </c>
      <c r="D8" s="97" t="n">
        <v>6</v>
      </c>
      <c r="E8" s="97" t="n">
        <v>0</v>
      </c>
      <c r="F8" s="97" t="n">
        <f aca="false">ROUNDUP((D8+E8)/3,0)</f>
        <v>2</v>
      </c>
      <c r="G8" s="97" t="n">
        <f aca="false">SUM(D8:F8)</f>
        <v>8</v>
      </c>
      <c r="H8" s="98" t="n">
        <v>1</v>
      </c>
      <c r="I8" s="98" t="n">
        <f aca="false">E8/G8</f>
        <v>0</v>
      </c>
      <c r="J8" s="98" t="n">
        <v>0</v>
      </c>
      <c r="K8" s="91" t="s">
        <v>282</v>
      </c>
    </row>
    <row r="9" customFormat="false" ht="30" hidden="false" customHeight="true" outlineLevel="0" collapsed="false">
      <c r="A9" s="94" t="s">
        <v>289</v>
      </c>
      <c r="B9" s="95" t="s">
        <v>157</v>
      </c>
      <c r="C9" s="96" t="s">
        <v>291</v>
      </c>
      <c r="D9" s="97" t="n">
        <v>10</v>
      </c>
      <c r="E9" s="97" t="n">
        <v>0</v>
      </c>
      <c r="F9" s="97" t="n">
        <v>3</v>
      </c>
      <c r="G9" s="97" t="n">
        <f aca="false">SUM(D9:F9)</f>
        <v>13</v>
      </c>
      <c r="H9" s="98" t="n">
        <v>1</v>
      </c>
      <c r="I9" s="98" t="n">
        <f aca="false">E9/G9</f>
        <v>0</v>
      </c>
      <c r="J9" s="98" t="n">
        <v>0</v>
      </c>
      <c r="K9" s="91" t="s">
        <v>282</v>
      </c>
    </row>
    <row r="10" customFormat="false" ht="30" hidden="false" customHeight="true" outlineLevel="0" collapsed="false">
      <c r="A10" s="94" t="s">
        <v>289</v>
      </c>
      <c r="B10" s="95" t="s">
        <v>161</v>
      </c>
      <c r="C10" s="96" t="s">
        <v>292</v>
      </c>
      <c r="D10" s="97" t="n">
        <v>24</v>
      </c>
      <c r="E10" s="97" t="n">
        <v>0</v>
      </c>
      <c r="F10" s="97" t="n">
        <f aca="false">ROUNDUP((D10+E10)/3,0)</f>
        <v>8</v>
      </c>
      <c r="G10" s="97" t="n">
        <f aca="false">SUM(D10:F10)</f>
        <v>32</v>
      </c>
      <c r="H10" s="98" t="n">
        <v>1</v>
      </c>
      <c r="I10" s="98" t="n">
        <f aca="false">E10/G10</f>
        <v>0</v>
      </c>
      <c r="J10" s="98" t="n">
        <v>0</v>
      </c>
      <c r="K10" s="91" t="s">
        <v>282</v>
      </c>
    </row>
    <row r="11" customFormat="false" ht="30" hidden="false" customHeight="true" outlineLevel="0" collapsed="false">
      <c r="A11" s="94" t="s">
        <v>293</v>
      </c>
      <c r="B11" s="95" t="s">
        <v>165</v>
      </c>
      <c r="C11" s="96" t="s">
        <v>294</v>
      </c>
      <c r="D11" s="97" t="n">
        <v>4</v>
      </c>
      <c r="E11" s="97" t="n">
        <v>0</v>
      </c>
      <c r="F11" s="97" t="n">
        <f aca="false">ROUNDUP((D11+E11)/3,0)</f>
        <v>2</v>
      </c>
      <c r="G11" s="97" t="n">
        <f aca="false">SUM(D11:F11)</f>
        <v>6</v>
      </c>
      <c r="H11" s="98" t="n">
        <v>1</v>
      </c>
      <c r="I11" s="98" t="n">
        <f aca="false">E11/G11</f>
        <v>0</v>
      </c>
      <c r="J11" s="98" t="n">
        <v>0</v>
      </c>
      <c r="K11" s="91" t="s">
        <v>282</v>
      </c>
    </row>
    <row r="12" customFormat="false" ht="30" hidden="false" customHeight="true" outlineLevel="0" collapsed="false">
      <c r="A12" s="94" t="s">
        <v>293</v>
      </c>
      <c r="B12" s="95" t="s">
        <v>157</v>
      </c>
      <c r="C12" s="96" t="s">
        <v>295</v>
      </c>
      <c r="D12" s="97" t="n">
        <v>8</v>
      </c>
      <c r="E12" s="97" t="n">
        <v>0</v>
      </c>
      <c r="F12" s="97" t="n">
        <f aca="false">ROUNDUP((D12+E12)/3,0)</f>
        <v>3</v>
      </c>
      <c r="G12" s="97" t="n">
        <f aca="false">SUM(D12:F12)</f>
        <v>11</v>
      </c>
      <c r="H12" s="98" t="n">
        <v>1</v>
      </c>
      <c r="I12" s="98" t="n">
        <f aca="false">E12/G12</f>
        <v>0</v>
      </c>
      <c r="J12" s="98" t="n">
        <v>0</v>
      </c>
      <c r="K12" s="91" t="s">
        <v>282</v>
      </c>
    </row>
    <row r="13" customFormat="false" ht="30" hidden="false" customHeight="true" outlineLevel="0" collapsed="false">
      <c r="A13" s="94" t="s">
        <v>293</v>
      </c>
      <c r="B13" s="95" t="s">
        <v>161</v>
      </c>
      <c r="C13" s="96" t="s">
        <v>296</v>
      </c>
      <c r="D13" s="97" t="n">
        <v>20</v>
      </c>
      <c r="E13" s="97" t="n">
        <v>0</v>
      </c>
      <c r="F13" s="97" t="n">
        <f aca="false">ROUNDUP((D13+E13)/3,0)</f>
        <v>7</v>
      </c>
      <c r="G13" s="97" t="n">
        <f aca="false">SUM(D13:F13)</f>
        <v>27</v>
      </c>
      <c r="H13" s="98" t="n">
        <v>1</v>
      </c>
      <c r="I13" s="98" t="n">
        <f aca="false">E13/G13</f>
        <v>0</v>
      </c>
      <c r="J13" s="98" t="n">
        <v>0</v>
      </c>
      <c r="K13" s="91" t="s">
        <v>282</v>
      </c>
    </row>
    <row r="14" customFormat="false" ht="30" hidden="false" customHeight="true" outlineLevel="0" collapsed="false">
      <c r="A14" s="96" t="s">
        <v>180</v>
      </c>
      <c r="B14" s="95" t="s">
        <v>165</v>
      </c>
      <c r="C14" s="96" t="s">
        <v>297</v>
      </c>
      <c r="D14" s="97" t="n">
        <v>4</v>
      </c>
      <c r="E14" s="97" t="n">
        <v>0</v>
      </c>
      <c r="F14" s="97" t="n">
        <f aca="false">ROUNDUP((D14+E14)/3,0)</f>
        <v>2</v>
      </c>
      <c r="G14" s="97" t="n">
        <f aca="false">SUM(D14:F14)</f>
        <v>6</v>
      </c>
      <c r="H14" s="98" t="n">
        <v>1</v>
      </c>
      <c r="I14" s="98" t="n">
        <f aca="false">E14/G14</f>
        <v>0</v>
      </c>
      <c r="J14" s="98" t="n">
        <v>0</v>
      </c>
      <c r="K14" s="91" t="s">
        <v>282</v>
      </c>
    </row>
    <row r="15" customFormat="false" ht="30" hidden="false" customHeight="true" outlineLevel="0" collapsed="false">
      <c r="A15" s="96" t="s">
        <v>180</v>
      </c>
      <c r="B15" s="95" t="s">
        <v>157</v>
      </c>
      <c r="C15" s="96" t="s">
        <v>298</v>
      </c>
      <c r="D15" s="97" t="n">
        <v>8</v>
      </c>
      <c r="E15" s="97" t="n">
        <v>0</v>
      </c>
      <c r="F15" s="97" t="n">
        <f aca="false">ROUNDUP((D15+E15)/3,0)</f>
        <v>3</v>
      </c>
      <c r="G15" s="97" t="n">
        <f aca="false">SUM(D15:F15)</f>
        <v>11</v>
      </c>
      <c r="H15" s="98" t="n">
        <v>1</v>
      </c>
      <c r="I15" s="98" t="n">
        <f aca="false">E15/G15</f>
        <v>0</v>
      </c>
      <c r="J15" s="98" t="n">
        <v>0</v>
      </c>
      <c r="K15" s="91" t="s">
        <v>282</v>
      </c>
    </row>
    <row r="16" customFormat="false" ht="30" hidden="false" customHeight="true" outlineLevel="0" collapsed="false">
      <c r="A16" s="96" t="s">
        <v>180</v>
      </c>
      <c r="B16" s="95" t="s">
        <v>161</v>
      </c>
      <c r="C16" s="96" t="s">
        <v>299</v>
      </c>
      <c r="D16" s="97" t="n">
        <v>20</v>
      </c>
      <c r="E16" s="97" t="n">
        <v>0</v>
      </c>
      <c r="F16" s="97" t="n">
        <f aca="false">ROUNDUP((D16+E16)/3,0)</f>
        <v>7</v>
      </c>
      <c r="G16" s="97" t="n">
        <f aca="false">SUM(D16:F16)</f>
        <v>27</v>
      </c>
      <c r="H16" s="98" t="n">
        <v>1</v>
      </c>
      <c r="I16" s="98" t="n">
        <f aca="false">E16/G16</f>
        <v>0</v>
      </c>
      <c r="J16" s="98" t="n">
        <v>0</v>
      </c>
      <c r="K16" s="91" t="s">
        <v>282</v>
      </c>
    </row>
    <row r="17" customFormat="false" ht="30" hidden="false" customHeight="true" outlineLevel="0" collapsed="false">
      <c r="A17" s="96" t="s">
        <v>300</v>
      </c>
      <c r="B17" s="95" t="s">
        <v>165</v>
      </c>
      <c r="C17" s="96" t="s">
        <v>301</v>
      </c>
      <c r="D17" s="97" t="n">
        <v>4</v>
      </c>
      <c r="E17" s="97" t="n">
        <v>0</v>
      </c>
      <c r="F17" s="97" t="n">
        <f aca="false">ROUNDUP((D17+E17)/3,0)</f>
        <v>2</v>
      </c>
      <c r="G17" s="97" t="n">
        <f aca="false">SUM(D17:F17)</f>
        <v>6</v>
      </c>
      <c r="H17" s="98" t="n">
        <v>1</v>
      </c>
      <c r="I17" s="98" t="n">
        <f aca="false">E17/G17</f>
        <v>0</v>
      </c>
      <c r="J17" s="98" t="n">
        <v>0</v>
      </c>
      <c r="K17" s="91" t="s">
        <v>282</v>
      </c>
    </row>
    <row r="18" customFormat="false" ht="30" hidden="false" customHeight="true" outlineLevel="0" collapsed="false">
      <c r="A18" s="96" t="s">
        <v>300</v>
      </c>
      <c r="B18" s="95" t="s">
        <v>157</v>
      </c>
      <c r="C18" s="96" t="s">
        <v>302</v>
      </c>
      <c r="D18" s="97" t="n">
        <v>8</v>
      </c>
      <c r="E18" s="97" t="n">
        <v>0</v>
      </c>
      <c r="F18" s="97" t="n">
        <f aca="false">ROUNDUP((D18+E18)/3,0)</f>
        <v>3</v>
      </c>
      <c r="G18" s="97" t="n">
        <f aca="false">SUM(D18:F18)</f>
        <v>11</v>
      </c>
      <c r="H18" s="98" t="n">
        <v>1</v>
      </c>
      <c r="I18" s="98" t="n">
        <f aca="false">E18/G18</f>
        <v>0</v>
      </c>
      <c r="J18" s="98" t="n">
        <v>0</v>
      </c>
      <c r="K18" s="91" t="s">
        <v>282</v>
      </c>
    </row>
    <row r="19" customFormat="false" ht="30" hidden="false" customHeight="true" outlineLevel="0" collapsed="false">
      <c r="A19" s="99" t="s">
        <v>300</v>
      </c>
      <c r="B19" s="100" t="s">
        <v>161</v>
      </c>
      <c r="C19" s="99" t="s">
        <v>303</v>
      </c>
      <c r="D19" s="101" t="n">
        <v>20</v>
      </c>
      <c r="E19" s="101" t="n">
        <v>0</v>
      </c>
      <c r="F19" s="101" t="n">
        <f aca="false">ROUNDUP((D19+E19)/3,0)</f>
        <v>7</v>
      </c>
      <c r="G19" s="101" t="n">
        <f aca="false">SUM(D19:F19)</f>
        <v>27</v>
      </c>
      <c r="H19" s="98" t="n">
        <v>1</v>
      </c>
      <c r="I19" s="98" t="n">
        <f aca="false">E19/G19</f>
        <v>0</v>
      </c>
      <c r="J19" s="98" t="n">
        <v>0</v>
      </c>
      <c r="K19" s="91" t="s">
        <v>282</v>
      </c>
    </row>
    <row r="20" customFormat="false" ht="94.5" hidden="false" customHeight="true" outlineLevel="0" collapsed="false">
      <c r="A20" s="96" t="s">
        <v>183</v>
      </c>
      <c r="B20" s="94" t="s">
        <v>165</v>
      </c>
      <c r="C20" s="102" t="s">
        <v>304</v>
      </c>
      <c r="D20" s="97" t="n">
        <v>4</v>
      </c>
      <c r="E20" s="97" t="n">
        <v>0</v>
      </c>
      <c r="F20" s="101" t="n">
        <f aca="false">ROUNDUP((D20+E20)/3,0)</f>
        <v>2</v>
      </c>
      <c r="G20" s="101" t="n">
        <f aca="false">SUM(D20:F20)</f>
        <v>6</v>
      </c>
      <c r="H20" s="98" t="n">
        <v>1</v>
      </c>
      <c r="I20" s="98" t="n">
        <f aca="false">E20/G20</f>
        <v>0</v>
      </c>
      <c r="J20" s="98" t="n">
        <v>0</v>
      </c>
      <c r="K20" s="91" t="s">
        <v>282</v>
      </c>
    </row>
    <row r="21" customFormat="false" ht="126" hidden="false" customHeight="true" outlineLevel="0" collapsed="false">
      <c r="A21" s="96" t="s">
        <v>183</v>
      </c>
      <c r="B21" s="94" t="s">
        <v>157</v>
      </c>
      <c r="C21" s="102" t="s">
        <v>305</v>
      </c>
      <c r="D21" s="97" t="n">
        <v>8</v>
      </c>
      <c r="E21" s="97" t="n">
        <v>0</v>
      </c>
      <c r="F21" s="101" t="n">
        <f aca="false">ROUNDUP((D21+E21)/3,0)</f>
        <v>3</v>
      </c>
      <c r="G21" s="101" t="n">
        <f aca="false">SUM(D21:F21)</f>
        <v>11</v>
      </c>
      <c r="H21" s="98" t="n">
        <v>1</v>
      </c>
      <c r="I21" s="98" t="n">
        <f aca="false">E21/G21</f>
        <v>0</v>
      </c>
      <c r="J21" s="98" t="n">
        <v>0</v>
      </c>
      <c r="K21" s="91" t="s">
        <v>282</v>
      </c>
    </row>
    <row r="22" customFormat="false" ht="157.5" hidden="false" customHeight="true" outlineLevel="0" collapsed="false">
      <c r="A22" s="96" t="s">
        <v>183</v>
      </c>
      <c r="B22" s="94" t="s">
        <v>161</v>
      </c>
      <c r="C22" s="102" t="s">
        <v>306</v>
      </c>
      <c r="D22" s="7" t="n">
        <v>16</v>
      </c>
      <c r="E22" s="7" t="n">
        <v>0</v>
      </c>
      <c r="F22" s="101" t="n">
        <f aca="false">ROUNDUP((D22+E22)/3,0)</f>
        <v>6</v>
      </c>
      <c r="G22" s="101" t="n">
        <f aca="false">SUM(D22:F22)</f>
        <v>22</v>
      </c>
      <c r="H22" s="98" t="n">
        <v>1</v>
      </c>
      <c r="I22" s="98" t="n">
        <f aca="false">E22/G22</f>
        <v>0</v>
      </c>
      <c r="J22" s="98" t="n">
        <v>0</v>
      </c>
      <c r="K22" s="91" t="s">
        <v>282</v>
      </c>
    </row>
    <row r="23" customFormat="false" ht="30" hidden="false" customHeight="true" outlineLevel="0" collapsed="false">
      <c r="A23" s="7" t="s">
        <v>307</v>
      </c>
      <c r="B23" s="95" t="s">
        <v>165</v>
      </c>
      <c r="C23" s="103" t="s">
        <v>308</v>
      </c>
      <c r="D23" s="7" t="n">
        <v>16</v>
      </c>
      <c r="E23" s="7" t="n">
        <v>0</v>
      </c>
      <c r="F23" s="7" t="n">
        <f aca="false">ROUNDUP((D23+E23)/3,0)</f>
        <v>6</v>
      </c>
      <c r="G23" s="7" t="n">
        <f aca="false">SUM(D23:F23)</f>
        <v>22</v>
      </c>
      <c r="H23" s="98" t="n">
        <v>1</v>
      </c>
      <c r="I23" s="98" t="n">
        <f aca="false">E23/G23</f>
        <v>0</v>
      </c>
      <c r="J23" s="98" t="n">
        <v>0</v>
      </c>
      <c r="K23" s="91" t="s">
        <v>282</v>
      </c>
    </row>
    <row r="24" customFormat="false" ht="30" hidden="false" customHeight="true" outlineLevel="0" collapsed="false">
      <c r="A24" s="7" t="s">
        <v>307</v>
      </c>
      <c r="B24" s="95" t="s">
        <v>157</v>
      </c>
      <c r="C24" s="103" t="s">
        <v>309</v>
      </c>
      <c r="D24" s="7" t="n">
        <v>24</v>
      </c>
      <c r="E24" s="7" t="n">
        <v>0</v>
      </c>
      <c r="F24" s="7" t="n">
        <f aca="false">ROUNDUP((D24+E24)/3,0)</f>
        <v>8</v>
      </c>
      <c r="G24" s="7" t="n">
        <f aca="false">SUM(D24:F24)</f>
        <v>32</v>
      </c>
      <c r="H24" s="98" t="n">
        <v>1</v>
      </c>
      <c r="I24" s="98" t="n">
        <f aca="false">E24/G24</f>
        <v>0</v>
      </c>
      <c r="J24" s="98" t="n">
        <v>0</v>
      </c>
      <c r="K24" s="91" t="s">
        <v>282</v>
      </c>
    </row>
    <row r="25" customFormat="false" ht="30" hidden="false" customHeight="true" outlineLevel="0" collapsed="false">
      <c r="A25" s="7" t="s">
        <v>307</v>
      </c>
      <c r="B25" s="95" t="s">
        <v>161</v>
      </c>
      <c r="C25" s="103" t="s">
        <v>310</v>
      </c>
      <c r="D25" s="7" t="n">
        <v>32</v>
      </c>
      <c r="E25" s="7" t="n">
        <v>40</v>
      </c>
      <c r="F25" s="7" t="n">
        <f aca="false">ROUNDUP((D25+E25)/3,0)</f>
        <v>24</v>
      </c>
      <c r="G25" s="7" t="n">
        <f aca="false">SUM(D25:F25)</f>
        <v>96</v>
      </c>
      <c r="H25" s="98" t="n">
        <v>1</v>
      </c>
      <c r="I25" s="98" t="n">
        <f aca="false">E25/G25</f>
        <v>0.416666666666667</v>
      </c>
      <c r="J25" s="98" t="n">
        <v>0</v>
      </c>
      <c r="K25" s="91" t="s">
        <v>282</v>
      </c>
    </row>
    <row r="26" customFormat="false" ht="15.75" hidden="false" customHeight="true" outlineLevel="0" collapsed="false">
      <c r="A26" s="104" t="s">
        <v>311</v>
      </c>
      <c r="B26" s="105" t="s">
        <v>165</v>
      </c>
      <c r="C26" s="106" t="s">
        <v>312</v>
      </c>
      <c r="D26" s="107" t="n">
        <v>2</v>
      </c>
      <c r="E26" s="107" t="n">
        <v>0</v>
      </c>
      <c r="F26" s="107" t="n">
        <f aca="false">ROUNDUP((D26+E26)/3,0)</f>
        <v>1</v>
      </c>
      <c r="G26" s="107" t="n">
        <f aca="false">SUM(D26:F26)</f>
        <v>3</v>
      </c>
      <c r="H26" s="98" t="n">
        <v>1</v>
      </c>
      <c r="I26" s="98" t="n">
        <f aca="false">E26/G26</f>
        <v>0</v>
      </c>
      <c r="J26" s="98" t="n">
        <v>0</v>
      </c>
      <c r="K26" s="106" t="s">
        <v>313</v>
      </c>
    </row>
    <row r="27" customFormat="false" ht="15.75" hidden="false" customHeight="true" outlineLevel="0" collapsed="false">
      <c r="A27" s="104" t="s">
        <v>311</v>
      </c>
      <c r="B27" s="105" t="s">
        <v>157</v>
      </c>
      <c r="C27" s="103" t="s">
        <v>314</v>
      </c>
      <c r="D27" s="107" t="n">
        <v>4</v>
      </c>
      <c r="E27" s="107" t="n">
        <v>0</v>
      </c>
      <c r="F27" s="107" t="n">
        <f aca="false">ROUNDUP((D27+E27)/3,0)</f>
        <v>2</v>
      </c>
      <c r="G27" s="107" t="n">
        <f aca="false">SUM(D27:F27)</f>
        <v>6</v>
      </c>
      <c r="H27" s="98" t="n">
        <v>1</v>
      </c>
      <c r="I27" s="98" t="n">
        <f aca="false">E27/G27</f>
        <v>0</v>
      </c>
      <c r="J27" s="98" t="n">
        <v>0</v>
      </c>
      <c r="K27" s="108"/>
    </row>
    <row r="28" customFormat="false" ht="15.75" hidden="false" customHeight="true" outlineLevel="0" collapsed="false">
      <c r="A28" s="104" t="s">
        <v>311</v>
      </c>
      <c r="B28" s="105" t="s">
        <v>161</v>
      </c>
      <c r="C28" s="106" t="s">
        <v>315</v>
      </c>
      <c r="D28" s="107" t="n">
        <v>8</v>
      </c>
      <c r="E28" s="107" t="n">
        <v>0</v>
      </c>
      <c r="F28" s="107" t="n">
        <f aca="false">ROUNDUP((D28+E28)/3,0)</f>
        <v>3</v>
      </c>
      <c r="G28" s="107" t="n">
        <f aca="false">SUM(D28:F28)</f>
        <v>11</v>
      </c>
      <c r="H28" s="98" t="n">
        <v>1</v>
      </c>
      <c r="I28" s="98" t="n">
        <f aca="false">E28/G28</f>
        <v>0</v>
      </c>
      <c r="J28" s="98" t="n">
        <v>0</v>
      </c>
      <c r="K28" s="108"/>
    </row>
    <row r="29" customFormat="false" ht="15.75" hidden="false" customHeight="true" outlineLevel="0" collapsed="false">
      <c r="A29" s="109" t="s">
        <v>316</v>
      </c>
      <c r="B29" s="105" t="s">
        <v>165</v>
      </c>
      <c r="C29" s="110"/>
      <c r="D29" s="109" t="n">
        <v>16</v>
      </c>
      <c r="E29" s="109" t="n">
        <v>0</v>
      </c>
      <c r="F29" s="109" t="n">
        <f aca="false">ROUNDUP((D29+E29)/3,0)</f>
        <v>6</v>
      </c>
      <c r="G29" s="109" t="n">
        <f aca="false">SUM(D29:F29)</f>
        <v>22</v>
      </c>
      <c r="H29" s="97" t="n">
        <v>1</v>
      </c>
      <c r="I29" s="97" t="n">
        <f aca="false">E29/G29</f>
        <v>0</v>
      </c>
      <c r="J29" s="97" t="n">
        <v>0</v>
      </c>
      <c r="K29" s="111" t="s">
        <v>317</v>
      </c>
      <c r="L29" s="112"/>
    </row>
    <row r="30" customFormat="false" ht="15.75" hidden="false" customHeight="true" outlineLevel="0" collapsed="false">
      <c r="A30" s="109" t="s">
        <v>316</v>
      </c>
      <c r="B30" s="105" t="s">
        <v>157</v>
      </c>
      <c r="C30" s="110"/>
      <c r="D30" s="109" t="n">
        <v>24</v>
      </c>
      <c r="E30" s="109" t="n">
        <v>0</v>
      </c>
      <c r="F30" s="109" t="n">
        <f aca="false">ROUNDUP((D30+E30)/3,0)</f>
        <v>8</v>
      </c>
      <c r="G30" s="109" t="n">
        <f aca="false">SUM(D30:F30)</f>
        <v>32</v>
      </c>
      <c r="H30" s="97" t="n">
        <v>1</v>
      </c>
      <c r="I30" s="97" t="n">
        <f aca="false">E30/G30</f>
        <v>0</v>
      </c>
      <c r="J30" s="97" t="n">
        <v>0</v>
      </c>
      <c r="K30" s="106"/>
      <c r="L30" s="113"/>
    </row>
    <row r="31" customFormat="false" ht="15.75" hidden="false" customHeight="true" outlineLevel="0" collapsed="false">
      <c r="A31" s="109" t="s">
        <v>316</v>
      </c>
      <c r="B31" s="105" t="s">
        <v>161</v>
      </c>
      <c r="C31" s="110"/>
      <c r="D31" s="109" t="n">
        <v>40</v>
      </c>
      <c r="E31" s="109" t="n">
        <v>40</v>
      </c>
      <c r="F31" s="109" t="n">
        <f aca="false">ROUNDUP((D31+E31)/3,0)</f>
        <v>27</v>
      </c>
      <c r="G31" s="109" t="n">
        <f aca="false">SUM(D31:F31)</f>
        <v>107</v>
      </c>
      <c r="H31" s="97" t="n">
        <v>1</v>
      </c>
      <c r="I31" s="97" t="n">
        <f aca="false">E31/G31</f>
        <v>0.373831775700935</v>
      </c>
      <c r="J31" s="97" t="n">
        <v>0</v>
      </c>
      <c r="K31" s="106"/>
      <c r="L31" s="113"/>
    </row>
    <row r="32" customFormat="false" ht="15.75" hidden="false" customHeight="true" outlineLevel="0" collapsed="false">
      <c r="A32" s="109" t="s">
        <v>159</v>
      </c>
      <c r="B32" s="105" t="s">
        <v>165</v>
      </c>
      <c r="C32" s="110" t="s">
        <v>318</v>
      </c>
      <c r="D32" s="109" t="n">
        <v>16</v>
      </c>
      <c r="E32" s="109" t="n">
        <v>0</v>
      </c>
      <c r="F32" s="109" t="n">
        <f aca="false">ROUNDUP((D32+E32)/3,0)</f>
        <v>6</v>
      </c>
      <c r="G32" s="109" t="n">
        <f aca="false">SUM(D32:F32)</f>
        <v>22</v>
      </c>
      <c r="H32" s="98" t="n">
        <v>1</v>
      </c>
      <c r="I32" s="98" t="n">
        <f aca="false">E32/G32</f>
        <v>0</v>
      </c>
      <c r="J32" s="98" t="n">
        <v>0</v>
      </c>
      <c r="K32" s="111" t="s">
        <v>159</v>
      </c>
      <c r="L32" s="112"/>
    </row>
    <row r="33" customFormat="false" ht="15.75" hidden="false" customHeight="true" outlineLevel="0" collapsed="false">
      <c r="A33" s="109" t="s">
        <v>159</v>
      </c>
      <c r="B33" s="105" t="s">
        <v>157</v>
      </c>
      <c r="C33" s="110" t="s">
        <v>319</v>
      </c>
      <c r="D33" s="109" t="n">
        <v>24</v>
      </c>
      <c r="E33" s="109" t="n">
        <v>0</v>
      </c>
      <c r="F33" s="109" t="n">
        <f aca="false">ROUNDUP((D33+E33)/3,0)</f>
        <v>8</v>
      </c>
      <c r="G33" s="109" t="n">
        <f aca="false">SUM(D33:F33)</f>
        <v>32</v>
      </c>
      <c r="H33" s="98" t="n">
        <v>1</v>
      </c>
      <c r="I33" s="98" t="n">
        <f aca="false">E33/G33</f>
        <v>0</v>
      </c>
      <c r="J33" s="98" t="n">
        <v>0</v>
      </c>
      <c r="K33" s="108"/>
      <c r="L33" s="113"/>
    </row>
    <row r="34" customFormat="false" ht="15.75" hidden="false" customHeight="true" outlineLevel="0" collapsed="false">
      <c r="A34" s="109" t="s">
        <v>159</v>
      </c>
      <c r="B34" s="105" t="s">
        <v>161</v>
      </c>
      <c r="C34" s="110" t="s">
        <v>320</v>
      </c>
      <c r="D34" s="109" t="n">
        <v>40</v>
      </c>
      <c r="E34" s="109" t="n">
        <v>40</v>
      </c>
      <c r="F34" s="109" t="n">
        <f aca="false">ROUNDUP((D34+E34)/3,0)</f>
        <v>27</v>
      </c>
      <c r="G34" s="109" t="n">
        <f aca="false">SUM(D34:F34)</f>
        <v>107</v>
      </c>
      <c r="H34" s="98" t="n">
        <v>1</v>
      </c>
      <c r="I34" s="98" t="n">
        <f aca="false">E34/G34</f>
        <v>0.373831775700935</v>
      </c>
      <c r="J34" s="98" t="n">
        <v>0</v>
      </c>
      <c r="K34" s="108"/>
      <c r="L34" s="113"/>
    </row>
    <row r="35" customFormat="false" ht="15.75" hidden="false" customHeight="true" outlineLevel="0" collapsed="false">
      <c r="A35" s="109" t="s">
        <v>321</v>
      </c>
      <c r="B35" s="105" t="s">
        <v>165</v>
      </c>
      <c r="C35" s="110" t="s">
        <v>318</v>
      </c>
      <c r="D35" s="109" t="n">
        <v>16</v>
      </c>
      <c r="E35" s="109" t="n">
        <v>0</v>
      </c>
      <c r="F35" s="109" t="n">
        <f aca="false">ROUNDUP((D35+E35)/3,0)</f>
        <v>6</v>
      </c>
      <c r="G35" s="109" t="n">
        <f aca="false">SUM(D35:F35)</f>
        <v>22</v>
      </c>
      <c r="H35" s="98" t="n">
        <v>1</v>
      </c>
      <c r="I35" s="98" t="n">
        <f aca="false">E35/G35</f>
        <v>0</v>
      </c>
      <c r="J35" s="98" t="n">
        <v>0</v>
      </c>
      <c r="K35" s="111" t="s">
        <v>321</v>
      </c>
      <c r="L35" s="112"/>
    </row>
    <row r="36" customFormat="false" ht="15.75" hidden="false" customHeight="true" outlineLevel="0" collapsed="false">
      <c r="A36" s="109" t="s">
        <v>321</v>
      </c>
      <c r="B36" s="105" t="s">
        <v>157</v>
      </c>
      <c r="C36" s="110" t="s">
        <v>319</v>
      </c>
      <c r="D36" s="109" t="n">
        <v>24</v>
      </c>
      <c r="E36" s="109" t="n">
        <v>0</v>
      </c>
      <c r="F36" s="109" t="n">
        <f aca="false">ROUNDUP((D36+E36)/3,0)</f>
        <v>8</v>
      </c>
      <c r="G36" s="109" t="n">
        <f aca="false">SUM(D36:F36)</f>
        <v>32</v>
      </c>
      <c r="H36" s="98" t="n">
        <v>1</v>
      </c>
      <c r="I36" s="98" t="n">
        <f aca="false">E36/G36</f>
        <v>0</v>
      </c>
      <c r="J36" s="98" t="n">
        <v>0</v>
      </c>
      <c r="K36" s="108"/>
      <c r="L36" s="113"/>
    </row>
    <row r="37" customFormat="false" ht="15.75" hidden="false" customHeight="true" outlineLevel="0" collapsed="false">
      <c r="A37" s="109" t="s">
        <v>321</v>
      </c>
      <c r="B37" s="105" t="s">
        <v>161</v>
      </c>
      <c r="C37" s="110" t="s">
        <v>320</v>
      </c>
      <c r="D37" s="109" t="n">
        <v>40</v>
      </c>
      <c r="E37" s="109" t="n">
        <v>40</v>
      </c>
      <c r="F37" s="109" t="n">
        <f aca="false">ROUNDUP((D37+E37)/3,0)</f>
        <v>27</v>
      </c>
      <c r="G37" s="109" t="n">
        <f aca="false">SUM(D37:F37)</f>
        <v>107</v>
      </c>
      <c r="H37" s="98" t="n">
        <v>1</v>
      </c>
      <c r="I37" s="98" t="n">
        <f aca="false">E37/G37</f>
        <v>0.373831775700935</v>
      </c>
      <c r="J37" s="98" t="n">
        <v>0</v>
      </c>
      <c r="K37" s="108"/>
      <c r="L37" s="113"/>
    </row>
    <row r="38" customFormat="false" ht="15.75" hidden="false" customHeight="true" outlineLevel="0" collapsed="false">
      <c r="A38" s="109" t="s">
        <v>322</v>
      </c>
      <c r="B38" s="105" t="s">
        <v>165</v>
      </c>
      <c r="C38" s="110" t="s">
        <v>318</v>
      </c>
      <c r="D38" s="109" t="n">
        <v>16</v>
      </c>
      <c r="E38" s="109" t="n">
        <v>0</v>
      </c>
      <c r="F38" s="109" t="n">
        <f aca="false">ROUNDUP((D38+E38)/3,0)</f>
        <v>6</v>
      </c>
      <c r="G38" s="109" t="n">
        <f aca="false">SUM(D38:F38)</f>
        <v>22</v>
      </c>
      <c r="H38" s="97" t="n">
        <v>1</v>
      </c>
      <c r="I38" s="97" t="n">
        <f aca="false">E38/G38</f>
        <v>0</v>
      </c>
      <c r="J38" s="97" t="n">
        <v>0</v>
      </c>
      <c r="K38" s="111" t="s">
        <v>322</v>
      </c>
      <c r="L38" s="112"/>
    </row>
    <row r="39" customFormat="false" ht="15.75" hidden="false" customHeight="true" outlineLevel="0" collapsed="false">
      <c r="A39" s="109" t="s">
        <v>322</v>
      </c>
      <c r="B39" s="105" t="s">
        <v>157</v>
      </c>
      <c r="C39" s="110" t="s">
        <v>323</v>
      </c>
      <c r="D39" s="109" t="n">
        <v>24</v>
      </c>
      <c r="E39" s="109" t="n">
        <v>0</v>
      </c>
      <c r="F39" s="109" t="n">
        <f aca="false">ROUNDUP((D39+E39)/3,0)</f>
        <v>8</v>
      </c>
      <c r="G39" s="109" t="n">
        <f aca="false">SUM(D39:F39)</f>
        <v>32</v>
      </c>
      <c r="H39" s="97" t="n">
        <v>1</v>
      </c>
      <c r="I39" s="97" t="n">
        <f aca="false">E39/G39</f>
        <v>0</v>
      </c>
      <c r="J39" s="97" t="n">
        <v>0</v>
      </c>
      <c r="K39" s="106"/>
      <c r="L39" s="113"/>
    </row>
    <row r="40" customFormat="false" ht="15.75" hidden="false" customHeight="true" outlineLevel="0" collapsed="false">
      <c r="A40" s="109" t="s">
        <v>322</v>
      </c>
      <c r="B40" s="105" t="s">
        <v>161</v>
      </c>
      <c r="C40" s="110" t="s">
        <v>324</v>
      </c>
      <c r="D40" s="109" t="n">
        <v>40</v>
      </c>
      <c r="E40" s="109" t="n">
        <v>40</v>
      </c>
      <c r="F40" s="109" t="n">
        <f aca="false">ROUNDUP((D40+E40)/3,0)</f>
        <v>27</v>
      </c>
      <c r="G40" s="109" t="n">
        <f aca="false">SUM(D40:F40)</f>
        <v>107</v>
      </c>
      <c r="H40" s="97" t="n">
        <v>1</v>
      </c>
      <c r="I40" s="97" t="n">
        <f aca="false">E40/G40</f>
        <v>0.373831775700935</v>
      </c>
      <c r="J40" s="97" t="n">
        <v>0</v>
      </c>
      <c r="K40" s="106"/>
      <c r="L40" s="113"/>
    </row>
    <row r="41" customFormat="false" ht="15.75" hidden="false" customHeight="true" outlineLevel="0" collapsed="false">
      <c r="A41" s="110"/>
      <c r="B41" s="105"/>
      <c r="C41" s="110"/>
      <c r="D41" s="109"/>
      <c r="E41" s="109"/>
      <c r="F41" s="109"/>
      <c r="G41" s="109"/>
      <c r="H41" s="97"/>
      <c r="I41" s="97"/>
      <c r="J41" s="97"/>
      <c r="K41" s="113"/>
      <c r="L41" s="112"/>
    </row>
    <row r="42" customFormat="false" ht="15.75" hidden="false" customHeight="true" outlineLevel="0" collapsed="false">
      <c r="A42" s="110"/>
      <c r="B42" s="105"/>
      <c r="C42" s="110"/>
      <c r="D42" s="109"/>
      <c r="E42" s="109"/>
      <c r="F42" s="109"/>
      <c r="G42" s="109"/>
      <c r="H42" s="97"/>
      <c r="I42" s="97"/>
      <c r="J42" s="97"/>
      <c r="K42" s="106"/>
      <c r="L42" s="113"/>
    </row>
    <row r="43" customFormat="false" ht="15.75" hidden="false" customHeight="true" outlineLevel="0" collapsed="false">
      <c r="A43" s="110"/>
      <c r="B43" s="105"/>
      <c r="C43" s="110"/>
      <c r="D43" s="109"/>
      <c r="E43" s="109"/>
      <c r="F43" s="109"/>
      <c r="G43" s="109"/>
      <c r="H43" s="97"/>
      <c r="I43" s="97"/>
      <c r="J43" s="97"/>
      <c r="K43" s="106"/>
      <c r="L43" s="113"/>
    </row>
    <row r="44" customFormat="false" ht="15.75" hidden="false" customHeight="true" outlineLevel="0" collapsed="false">
      <c r="A44" s="104"/>
      <c r="B44" s="114"/>
      <c r="C44" s="115"/>
      <c r="D44" s="116"/>
      <c r="E44" s="116"/>
      <c r="F44" s="116"/>
      <c r="G44" s="116"/>
      <c r="H44" s="117"/>
      <c r="I44" s="117"/>
      <c r="J44" s="117"/>
      <c r="K44" s="118"/>
    </row>
    <row r="45" customFormat="false" ht="15" hidden="false" customHeight="false" outlineLevel="0" collapsed="false">
      <c r="A45" s="92" t="s">
        <v>325</v>
      </c>
    </row>
    <row r="46" customFormat="false" ht="45" hidden="false" customHeight="true" outlineLevel="0" collapsed="false">
      <c r="A46" s="119" t="s">
        <v>149</v>
      </c>
      <c r="B46" s="119" t="s">
        <v>150</v>
      </c>
      <c r="C46" s="120" t="s">
        <v>272</v>
      </c>
      <c r="D46" s="120" t="s">
        <v>273</v>
      </c>
      <c r="E46" s="120" t="s">
        <v>274</v>
      </c>
      <c r="F46" s="120" t="s">
        <v>275</v>
      </c>
      <c r="G46" s="120" t="s">
        <v>276</v>
      </c>
      <c r="H46" s="121"/>
      <c r="I46" s="121"/>
      <c r="J46" s="121"/>
    </row>
    <row r="47" customFormat="false" ht="15" hidden="false" customHeight="false" outlineLevel="0" collapsed="false">
      <c r="A47" s="7" t="s">
        <v>326</v>
      </c>
      <c r="B47" s="95" t="s">
        <v>165</v>
      </c>
      <c r="C47" s="103"/>
      <c r="D47" s="7" t="n">
        <v>8</v>
      </c>
      <c r="E47" s="7" t="n">
        <v>0</v>
      </c>
      <c r="F47" s="7" t="n">
        <f aca="false">ROUNDUP((D47+E47)/3,0)</f>
        <v>3</v>
      </c>
      <c r="G47" s="7" t="n">
        <f aca="false">SUM(D47:F47)</f>
        <v>11</v>
      </c>
      <c r="H47" s="122" t="n">
        <f aca="false">D47/G47</f>
        <v>0.727272727272727</v>
      </c>
      <c r="I47" s="122" t="n">
        <f aca="false">E47/G47</f>
        <v>0</v>
      </c>
      <c r="J47" s="122" t="n">
        <f aca="false">F47/G47</f>
        <v>0.272727272727273</v>
      </c>
    </row>
    <row r="48" customFormat="false" ht="15" hidden="false" customHeight="false" outlineLevel="0" collapsed="false">
      <c r="A48" s="7" t="s">
        <v>326</v>
      </c>
      <c r="B48" s="95" t="s">
        <v>157</v>
      </c>
      <c r="C48" s="103"/>
      <c r="D48" s="7" t="n">
        <v>16</v>
      </c>
      <c r="E48" s="7" t="n">
        <v>8</v>
      </c>
      <c r="F48" s="7" t="n">
        <f aca="false">ROUNDUP((D48+E48)/3,0)</f>
        <v>8</v>
      </c>
      <c r="G48" s="7" t="n">
        <f aca="false">SUM(D48:F48)</f>
        <v>32</v>
      </c>
      <c r="H48" s="122" t="n">
        <f aca="false">D48/G48</f>
        <v>0.5</v>
      </c>
      <c r="I48" s="122" t="n">
        <f aca="false">E48/G48</f>
        <v>0.25</v>
      </c>
      <c r="J48" s="122" t="n">
        <f aca="false">F48/G48</f>
        <v>0.25</v>
      </c>
    </row>
    <row r="49" customFormat="false" ht="15" hidden="false" customHeight="false" outlineLevel="0" collapsed="false">
      <c r="A49" s="7" t="s">
        <v>326</v>
      </c>
      <c r="B49" s="95" t="s">
        <v>161</v>
      </c>
      <c r="C49" s="103"/>
      <c r="D49" s="7" t="n">
        <v>16</v>
      </c>
      <c r="E49" s="7" t="n">
        <v>16</v>
      </c>
      <c r="F49" s="7" t="n">
        <f aca="false">ROUNDUP((D49+E49)/3,0)</f>
        <v>11</v>
      </c>
      <c r="G49" s="7" t="n">
        <f aca="false">SUM(D49:F49)</f>
        <v>43</v>
      </c>
      <c r="H49" s="122" t="n">
        <f aca="false">D49/G49</f>
        <v>0.372093023255814</v>
      </c>
      <c r="I49" s="122" t="n">
        <f aca="false">E49/G49</f>
        <v>0.372093023255814</v>
      </c>
      <c r="J49" s="122" t="n">
        <f aca="false">F49/G49</f>
        <v>0.255813953488372</v>
      </c>
    </row>
    <row r="50" customFormat="false" ht="15" hidden="false" customHeight="false" outlineLevel="0" collapsed="false">
      <c r="A50" s="7" t="s">
        <v>327</v>
      </c>
      <c r="B50" s="95" t="s">
        <v>165</v>
      </c>
      <c r="C50" s="103"/>
      <c r="D50" s="7" t="n">
        <v>8</v>
      </c>
      <c r="E50" s="7" t="n">
        <v>0</v>
      </c>
      <c r="F50" s="7" t="n">
        <f aca="false">ROUNDUP((D50+E50)/3,0)</f>
        <v>3</v>
      </c>
      <c r="G50" s="7" t="n">
        <f aca="false">SUM(D50:F50)</f>
        <v>11</v>
      </c>
      <c r="H50" s="122" t="n">
        <f aca="false">D50/G50</f>
        <v>0.727272727272727</v>
      </c>
      <c r="I50" s="122" t="n">
        <f aca="false">E50/G50</f>
        <v>0</v>
      </c>
      <c r="J50" s="122" t="n">
        <f aca="false">F50/G50</f>
        <v>0.272727272727273</v>
      </c>
    </row>
    <row r="51" customFormat="false" ht="15" hidden="false" customHeight="false" outlineLevel="0" collapsed="false">
      <c r="A51" s="7" t="s">
        <v>327</v>
      </c>
      <c r="B51" s="95" t="s">
        <v>157</v>
      </c>
      <c r="C51" s="103"/>
      <c r="D51" s="7" t="n">
        <v>16</v>
      </c>
      <c r="E51" s="7" t="n">
        <v>8</v>
      </c>
      <c r="F51" s="7" t="n">
        <f aca="false">ROUNDUP((D51+E51)/3,0)</f>
        <v>8</v>
      </c>
      <c r="G51" s="7" t="n">
        <f aca="false">SUM(D51:F51)</f>
        <v>32</v>
      </c>
      <c r="H51" s="122" t="n">
        <f aca="false">D51/G51</f>
        <v>0.5</v>
      </c>
      <c r="I51" s="122" t="n">
        <f aca="false">E51/G51</f>
        <v>0.25</v>
      </c>
      <c r="J51" s="122" t="n">
        <f aca="false">F51/G51</f>
        <v>0.25</v>
      </c>
    </row>
    <row r="52" customFormat="false" ht="15" hidden="false" customHeight="false" outlineLevel="0" collapsed="false">
      <c r="A52" s="7" t="s">
        <v>327</v>
      </c>
      <c r="B52" s="95" t="s">
        <v>161</v>
      </c>
      <c r="C52" s="103"/>
      <c r="D52" s="7" t="n">
        <v>16</v>
      </c>
      <c r="E52" s="7" t="n">
        <v>16</v>
      </c>
      <c r="F52" s="7" t="n">
        <f aca="false">ROUNDUP((D52+E52)/3,0)</f>
        <v>11</v>
      </c>
      <c r="G52" s="7" t="n">
        <f aca="false">SUM(D52:F52)</f>
        <v>43</v>
      </c>
      <c r="H52" s="122" t="n">
        <f aca="false">D52/G52</f>
        <v>0.372093023255814</v>
      </c>
      <c r="I52" s="122" t="n">
        <f aca="false">E52/G52</f>
        <v>0.372093023255814</v>
      </c>
      <c r="J52" s="122" t="n">
        <f aca="false">F52/G52</f>
        <v>0.255813953488372</v>
      </c>
    </row>
  </sheetData>
  <sheetProtection algorithmName="SHA-512" hashValue="sLwRB+zbVPFpIumqmlZlbVGQC5oLaFwPVTi1AAjz+GO2yv/GEcqZpJuFuVayCtUJ+Xw+KUMY94OBneSpJvrP9Q==" saltValue="S5Eo1nGhVaFkeZ1F4khVl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4" activeCellId="0" sqref="B4"/>
    </sheetView>
  </sheetViews>
  <sheetFormatPr defaultColWidth="8.859375" defaultRowHeight="15" zeroHeight="false" outlineLevelRow="0" outlineLevelCol="0"/>
  <cols>
    <col collapsed="false" customWidth="true" hidden="false" outlineLevel="0" max="2" min="2" style="0" width="116.43"/>
  </cols>
  <sheetData>
    <row r="1" customFormat="false" ht="15" hidden="false" customHeight="false" outlineLevel="0" collapsed="false">
      <c r="A1" s="123" t="s">
        <v>2</v>
      </c>
      <c r="B1" s="123" t="s">
        <v>328</v>
      </c>
    </row>
    <row r="2" customFormat="false" ht="15" hidden="false" customHeight="false" outlineLevel="0" collapsed="false">
      <c r="A2" s="124" t="n">
        <v>1</v>
      </c>
      <c r="B2" s="124" t="s">
        <v>329</v>
      </c>
    </row>
    <row r="3" customFormat="false" ht="15" hidden="false" customHeight="false" outlineLevel="0" collapsed="false">
      <c r="A3" s="124" t="n">
        <v>2</v>
      </c>
      <c r="B3" s="124" t="s">
        <v>330</v>
      </c>
    </row>
    <row r="4" customFormat="false" ht="15" hidden="false" customHeight="false" outlineLevel="0" collapsed="false">
      <c r="A4" s="124" t="n">
        <v>3</v>
      </c>
      <c r="B4" s="124" t="s">
        <v>331</v>
      </c>
    </row>
    <row r="5" customFormat="false" ht="15" hidden="false" customHeight="false" outlineLevel="0" collapsed="false">
      <c r="A5" s="124" t="n">
        <v>4</v>
      </c>
    </row>
    <row r="6" customFormat="false" ht="15" hidden="false" customHeight="false" outlineLevel="0" collapsed="false">
      <c r="D6" s="0" t="s">
        <v>332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1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D13" activeCellId="0" sqref="D13"/>
    </sheetView>
  </sheetViews>
  <sheetFormatPr defaultColWidth="8.859375" defaultRowHeight="15" zeroHeight="false" outlineLevelRow="0" outlineLevelCol="0"/>
  <cols>
    <col collapsed="false" customWidth="true" hidden="false" outlineLevel="0" max="1" min="1" style="0" width="32.86"/>
    <col collapsed="false" customWidth="true" hidden="false" outlineLevel="0" max="2" min="2" style="0" width="36.29"/>
    <col collapsed="false" customWidth="true" hidden="false" outlineLevel="0" max="3" min="3" style="0" width="18"/>
    <col collapsed="false" customWidth="true" hidden="false" outlineLevel="0" max="4" min="4" style="0" width="31.43"/>
    <col collapsed="false" customWidth="true" hidden="false" outlineLevel="0" max="5" min="5" style="0" width="14.86"/>
    <col collapsed="false" customWidth="true" hidden="false" outlineLevel="0" max="6" min="6" style="0" width="20.28"/>
    <col collapsed="false" customWidth="true" hidden="false" outlineLevel="0" max="7" min="7" style="0" width="15"/>
  </cols>
  <sheetData>
    <row r="1" customFormat="false" ht="15" hidden="false" customHeight="false" outlineLevel="0" collapsed="false">
      <c r="A1" s="125" t="s">
        <v>333</v>
      </c>
      <c r="B1" s="125" t="s">
        <v>149</v>
      </c>
      <c r="C1" s="125" t="s">
        <v>334</v>
      </c>
    </row>
    <row r="2" customFormat="false" ht="15" hidden="false" customHeight="false" outlineLevel="0" collapsed="false">
      <c r="A2" s="126" t="s">
        <v>165</v>
      </c>
      <c r="B2" s="94" t="s">
        <v>156</v>
      </c>
      <c r="C2" s="127" t="s">
        <v>326</v>
      </c>
      <c r="E2" s="128"/>
      <c r="F2" s="128"/>
    </row>
    <row r="3" customFormat="false" ht="15" hidden="false" customHeight="false" outlineLevel="0" collapsed="false">
      <c r="A3" s="126" t="s">
        <v>157</v>
      </c>
      <c r="B3" s="94" t="s">
        <v>164</v>
      </c>
      <c r="C3" s="127" t="s">
        <v>327</v>
      </c>
      <c r="E3" s="128"/>
      <c r="F3" s="128"/>
    </row>
    <row r="4" customFormat="false" ht="15" hidden="false" customHeight="false" outlineLevel="0" collapsed="false">
      <c r="A4" s="126" t="s">
        <v>161</v>
      </c>
      <c r="B4" s="94" t="s">
        <v>289</v>
      </c>
      <c r="E4" s="128"/>
      <c r="F4" s="128"/>
    </row>
    <row r="5" customFormat="false" ht="15" hidden="false" customHeight="false" outlineLevel="0" collapsed="false">
      <c r="A5" s="126" t="s">
        <v>335</v>
      </c>
      <c r="B5" s="94" t="s">
        <v>293</v>
      </c>
      <c r="E5" s="128"/>
      <c r="F5" s="128"/>
    </row>
    <row r="6" customFormat="false" ht="15" hidden="false" customHeight="false" outlineLevel="0" collapsed="false">
      <c r="B6" s="96" t="s">
        <v>180</v>
      </c>
    </row>
    <row r="7" customFormat="false" ht="15" hidden="false" customHeight="false" outlineLevel="0" collapsed="false">
      <c r="B7" s="96" t="s">
        <v>300</v>
      </c>
    </row>
    <row r="8" customFormat="false" ht="15" hidden="false" customHeight="false" outlineLevel="0" collapsed="false">
      <c r="B8" s="96" t="s">
        <v>183</v>
      </c>
    </row>
    <row r="9" customFormat="false" ht="15" hidden="false" customHeight="false" outlineLevel="0" collapsed="false">
      <c r="B9" s="96" t="s">
        <v>307</v>
      </c>
    </row>
    <row r="10" customFormat="false" ht="15.75" hidden="false" customHeight="true" outlineLevel="0" collapsed="false">
      <c r="B10" s="104" t="s">
        <v>311</v>
      </c>
    </row>
    <row r="11" customFormat="false" ht="15" hidden="false" customHeight="false" outlineLevel="0" collapsed="false">
      <c r="B11" s="96" t="s">
        <v>316</v>
      </c>
    </row>
    <row r="12" customFormat="false" ht="15" hidden="false" customHeight="false" outlineLevel="0" collapsed="false">
      <c r="B12" s="7" t="s">
        <v>159</v>
      </c>
    </row>
    <row r="13" customFormat="false" ht="15" hidden="false" customHeight="false" outlineLevel="0" collapsed="false">
      <c r="B13" s="96" t="s">
        <v>321</v>
      </c>
    </row>
    <row r="14" customFormat="false" ht="15" hidden="false" customHeight="false" outlineLevel="0" collapsed="false">
      <c r="B14" s="96" t="s">
        <v>322</v>
      </c>
    </row>
    <row r="15" customFormat="false" ht="15" hidden="false" customHeight="false" outlineLevel="0" collapsed="false">
      <c r="B15" s="129"/>
    </row>
    <row r="16" customFormat="false" ht="15" hidden="false" customHeight="false" outlineLevel="0" collapsed="false">
      <c r="C16" s="130"/>
    </row>
    <row r="17" customFormat="false" ht="15" hidden="false" customHeight="false" outlineLevel="0" collapsed="false">
      <c r="C17" s="130"/>
    </row>
    <row r="18" customFormat="false" ht="15" hidden="false" customHeight="false" outlineLevel="0" collapsed="false">
      <c r="C18" s="130"/>
    </row>
    <row r="24" customFormat="false" ht="15" hidden="false" customHeight="false" outlineLevel="0" collapsed="false">
      <c r="B24" s="131"/>
    </row>
    <row r="25" customFormat="false" ht="15" hidden="false" customHeight="false" outlineLevel="0" collapsed="false">
      <c r="B25" s="131"/>
    </row>
    <row r="26" customFormat="false" ht="15" hidden="false" customHeight="false" outlineLevel="0" collapsed="false">
      <c r="B26" s="131"/>
    </row>
    <row r="27" customFormat="false" ht="15" hidden="false" customHeight="false" outlineLevel="0" collapsed="false">
      <c r="B27" s="131"/>
    </row>
    <row r="28" customFormat="false" ht="15" hidden="false" customHeight="false" outlineLevel="0" collapsed="false">
      <c r="B28" s="131"/>
    </row>
    <row r="29" customFormat="false" ht="15" hidden="false" customHeight="false" outlineLevel="0" collapsed="false">
      <c r="B29" s="131"/>
    </row>
    <row r="30" customFormat="false" ht="15" hidden="false" customHeight="false" outlineLevel="0" collapsed="false">
      <c r="B30" s="131"/>
    </row>
    <row r="31" customFormat="false" ht="15" hidden="false" customHeight="false" outlineLevel="0" collapsed="false">
      <c r="B31" s="131"/>
    </row>
    <row r="32" customFormat="false" ht="15" hidden="false" customHeight="false" outlineLevel="0" collapsed="false">
      <c r="B32" s="131"/>
    </row>
    <row r="33" customFormat="false" ht="15" hidden="false" customHeight="false" outlineLevel="0" collapsed="false">
      <c r="B33" s="131"/>
    </row>
    <row r="34" customFormat="false" ht="15" hidden="false" customHeight="false" outlineLevel="0" collapsed="false">
      <c r="B34" s="131"/>
    </row>
    <row r="35" customFormat="false" ht="15" hidden="false" customHeight="false" outlineLevel="0" collapsed="false">
      <c r="B35" s="131"/>
    </row>
    <row r="36" customFormat="false" ht="15" hidden="false" customHeight="false" outlineLevel="0" collapsed="false">
      <c r="B36" s="132"/>
    </row>
    <row r="37" customFormat="false" ht="15" hidden="false" customHeight="false" outlineLevel="0" collapsed="false">
      <c r="B37" s="132"/>
    </row>
    <row r="38" customFormat="false" ht="15" hidden="false" customHeight="false" outlineLevel="0" collapsed="false">
      <c r="B38" s="132"/>
    </row>
    <row r="39" customFormat="false" ht="15" hidden="false" customHeight="false" outlineLevel="0" collapsed="false">
      <c r="B39" s="132"/>
    </row>
    <row r="40" customFormat="false" ht="15" hidden="false" customHeight="false" outlineLevel="0" collapsed="false">
      <c r="B40" s="132"/>
    </row>
    <row r="41" customFormat="false" ht="15" hidden="false" customHeight="false" outlineLevel="0" collapsed="false">
      <c r="B41" s="132"/>
    </row>
  </sheetData>
  <sheetProtection algorithmName="SHA-512" hashValue="ShKZYdl2MU+s3VGsMlyeCS4MF+ov9KzO5BJYuSdlbwmLNjxgBTnObcApK4cNawdJ7yDdGNSeGAiluHk6Un3VvA==" saltValue="SsjzzTzkho+qJmtrBSACyw==" spinCount="100000" sheet="true" objects="true" scenarios="true"/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2017-07-19T08:25:57Z</dcterms:created>
  <dc:creator>Борченко Павел Викторович</dc:creator>
  <dc:description/>
  <dc:language>en-US</dc:language>
  <cp:lastModifiedBy>B 9</cp:lastModifiedBy>
  <cp:lastPrinted>2022-03-10T10:06:53Z</cp:lastPrinted>
  <dcterms:modified xsi:type="dcterms:W3CDTF">2026-09-24T19:04:45Z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