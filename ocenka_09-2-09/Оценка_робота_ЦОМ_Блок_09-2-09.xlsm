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Оценка сложности задач" sheetId="7" state="visible" r:id="rId10"/>
    <sheet name="FAQ" sheetId="8" state="hidden" r:id="rId11"/>
    <sheet name="Справочники" sheetId="9" state="visible" r:id="rId1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<sst xmlns="http://schemas.openxmlformats.org/spreadsheetml/2006/main" count="653" uniqueCount="318">
  <si>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</si>
  <si>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</si>
  <si>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</si>
  <si>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</si>
  <si>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</si>
  <si>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</si>
  <si>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</si>
  <si>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</si>
  <si>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</si>
  <si>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</si>
  <si>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</si>
  <si>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</si>
  <si>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«Ежедневный» - факт закрытия суток + плановые данные по условию даты</t>
  </si>
  <si>
    <t xml:space="preserve">1 раз в сутки (время - от готовности данных по времени Вьетнама, UTC+7) + повторы до контрольного времени; перезапрос D и D-1. Плановый блок - если дата в окне: 28-е → 10-е число (СГ, План-заявка ПНГ); декабрь-январь и начало квартала (БП, ПХД - допущение, уточнить в ЧТЗ). Ручной запуск за любую дату</t>
  </si>
  <si>
    <t xml:space="preserve">API v1.1. Факт: collectfactVSP09209 (нефть); collectfactliquidVSP, collectfactpngVSP (do=VSP, ключ VSP09209_BK). Планы: collectsgVSP09209, collectbpVSP09209; collectorderpngVSP, collectbpliquidVSP, collectphdpngVSP (do=VSP, ключ VSP09209_BK)</t>
  </si>
  <si>
    <t xml:space="preserve">ПиТ → Закрытие: Нефть, Жидкость, ПНГ (факт сут/мес/год, комментарий, H2O, t). Планирование: СГ нефти, План-заявка ПНГ, БП нефти, БП жидкости, ПХД ПНГ (столбец/строка «Блок 09-2/09»)</t>
  </si>
  <si>
    <t xml:space="preserve">Р2 «Оперативный» - мнемосхема Блока 09-2/09 и энергетика (ориентировочно, ±40%)</t>
  </si>
  <si>
    <t xml:space="preserve">Каждые 8 ч (3 раза в сутки), перенастраивается до 1 раза в час; догон пропущенных срезов</t>
  </si>
  <si>
    <t xml:space="preserve">Методы не определены (будут после предпроектного обследования): мнемосхема - до 50 показателей, энергетика - до 10 показателей</t>
  </si>
  <si>
    <t xml:space="preserve">Страница Блока 09-2/09 → вкладка «Схема» (табличная часть мнемосхемы, ещё не создана); Вьетнам → Инфраструктура/Электроэнергия (несколько листов)</t>
  </si>
  <si>
    <t xml:space="preserve">ИТОГО по 2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</si>
  <si>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</si>
  <si>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Р1 общий срок сокращается.</t>
  </si>
  <si>
    <t xml:space="preserve">Архитектура: 2 робота</t>
  </si>
  <si>
    <t xml:space="preserve">1</t>
  </si>
  <si>
    <t xml:space="preserve">Р1 «Ежедневный»: факт и планы нужны не чаще раза в сутки, один API и один ЦОМ - один робот. Плановый блок выполняется по условию «дата в окне». Факт вносится первым, ошибка планового блока его не отменяет.</t>
  </si>
  <si>
    <t xml:space="preserve">1а</t>
  </si>
  <si>
    <t xml:space="preserve">Р2 «Оперативный» - отдельно и ориентировочно (±40%): нет методов API и таблицы мнемосхемы в ЦОМ. Твёрдая цена - только на Р1. При запуске раз в час, вероятно, нужна отдельная лицензия бота (в часы не входит).</t>
  </si>
  <si>
    <t xml:space="preserve">1б</t>
  </si>
  <si>
    <t xml:space="preserve">3-4 робота по периодичности отклонены: дублирование модулей и этапов; годовой робот не сработает по расписанию за время ОПЭ.</t>
  </si>
  <si>
    <t xml:space="preserve">Где сложность</t>
  </si>
  <si>
    <t xml:space="preserve">2</t>
  </si>
  <si>
    <t xml:space="preserve">Само внесение линейное (одна процедура ввода в сетку ЦОМ на все витрины). Основные часы - «что и когда»: окна по дате, D и D-1, сравнение с тем, что уже есть в ЦОМ (запись только отличий - из-за «Журнала корректировок» и ручных правок), и версии планов.</t>
  </si>
  <si>
    <t xml:space="preserve">2а</t>
  </si>
  <si>
    <t xml:space="preserve">Версии в базе оценки: на встрече заказчик предложил, чтобы робот сам нажимал «Добавить версию» [12:21-13:12]; при этом новые версии создаёт и действующая интеграция - столбец 09-2/09 в них надо дозаполнять. Окончательное правило - с Горбуновым.</t>
  </si>
  <si>
    <t xml:space="preserve">Допущения</t>
  </si>
  <si>
    <t xml:space="preserve">3</t>
  </si>
  <si>
    <t xml:space="preserve">Внесение через web-интерфейс ЦОМ («Ввод данных»); текущие значения читаются через выгрузку XLS витрины. Если в ЦОМ есть импорт XLS во «Ввод данных» - трудозатраты на ввод снижаются.</t>
  </si>
  <si>
    <t xml:space="preserve">4</t>
  </si>
  <si>
    <t xml:space="preserve">Тестовый ЦОМ с разделами блока 09-2/09 не подтверждён [20:14-20:37] - в этапы заложена увеличенная работа на продуктивном стенде с наблюдением.</t>
  </si>
  <si>
    <t xml:space="preserve">5</t>
  </si>
  <si>
    <t xml:space="preserve">API v1.1 (http://192.168.45.100/api/1.1/): по перечню от 11.02.2026 готовы только методы блока collectsgVSP09209, collectbpVSP09209, collectfactVSP09209. Наличие ключа VSP09209_BK в общих методах ВСП (жидкость, ПНГ, план-заявка, ПХД, БП жидкости) - условие оценки, подтвердить.</t>
  </si>
  <si>
    <t xml:space="preserve">6</t>
  </si>
  <si>
    <t xml:space="preserve">Состав закрытия: Нефть, Жидкость, ПНГ (факт сут/мес/год + комментарий, H2O, t). Закачка сейчас не передаётся («по закачке здесь не требуется», [04:05]), ТНЭ в закрытии расчётный ([03:19]) - вынесены в опции.</t>
  </si>
  <si>
    <t xml:space="preserve">7</t>
  </si>
  <si>
    <t xml:space="preserve">Окно СГ 28-е → 10-е (данные 29-1, окончательные 3-5 числа [11:18], запас). Окна БП (декабрь-январь) и квартальный контроль на встрече не звучали - допущение, уточняется в ЧТЗ; годовое окно проверяется на ПСИ ручным запуском.</t>
  </si>
  <si>
    <t xml:space="preserve">8</t>
  </si>
  <si>
    <t xml:space="preserve">ОПЭ Р1 не менее 1,5 мес.: должна захватить переход месяца и два обновления СГ.</t>
  </si>
  <si>
    <t xml:space="preserve">9</t>
  </si>
  <si>
    <t xml:space="preserve">Доработка витрин ЦОМ (ТТ, раздел 6) выполняется подрядчиком ЦОМ и в оценку не входит. Мнемосхема - до 50 показателей, энергетика - до 10 (со слов заказчика).</t>
  </si>
  <si>
    <t xml:space="preserve">Опции (не в базе)</t>
  </si>
  <si>
    <t xml:space="preserve">О1</t>
  </si>
  <si>
    <t xml:space="preserve">Закачка: факт (collectfactwaterVSP) + БП закачки (collectbpwaterVSP) - +8 ч, когда данные начнут передаваться.</t>
  </si>
  <si>
    <t xml:space="preserve">О2</t>
  </si>
  <si>
    <t xml:space="preserve">ТНЭ: БП ТНЭ (collectbptoeVSP) и факт, если ячейки окажутся вводимыми, - +6 ч.</t>
  </si>
  <si>
    <t xml:space="preserve">О3</t>
  </si>
  <si>
    <t xml:space="preserve">Сетевой график закачки, природный газ, сдача нефти (есть методы на портале) - +20-40 ч на группу, если потребуются.</t>
  </si>
  <si>
    <t xml:space="preserve">Экономический эффект</t>
  </si>
  <si>
    <t xml:space="preserve">10</t>
  </si>
  <si>
    <t xml:space="preserve">Ручной труд по Р1 невелик (~10-15 мин в сутки + ~1 ч в месяц на планы, ≈0,03-0,05 FTE); по FTE робот не окупается. Заказчик сравнивает со стоимостью действующих механизмов [23:53]; робот - временный мост из-за сроков доработки интеграции. Основная ценность частых ручных вводов - в Р2.</t>
  </si>
  <si>
    <t xml:space="preserve">Легенда</t>
  </si>
  <si>
    <t xml:space="preserve">Синий шрифт - вводимые вручную часы (можно корректировать); зелёный - ссылки на другие листы; «Автоматически» - расчёт по справочнику «Оценка сложности задач», в итог идёт столбец «Уточненно». [мм:сс] - таймкод транскрипции встречи.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</si>
  <si>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</si>
  <si>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</si>
  <si>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</si>
  <si>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</si>
  <si>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</si>
  <si>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</si>
  <si>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</si>
  <si>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</si>
  <si>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</si>
  <si>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</si>
  <si>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</si>
  <si>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</si>
  <si>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</si>
  <si>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(2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</si>
  <si>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</si>
  <si>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</si>
  <si>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</si>
  <si>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</si>
  <si>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</si>
  <si>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</si>
  <si>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</si>
  <si>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</si>
  <si>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</si>
  <si>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</si>
  <si>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- в Приложении 1 ТТ; тестовые данные/доступы -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</si>
  <si>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</si>
  <si>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1-2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</si>
  <si>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</si>
  <si>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</si>
  <si>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</si>
  <si>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</si>
  <si>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</si>
  <si>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ОПЭ Р1 не менее 1,5 мес. (переход месяца, два обновления СГ)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</si>
  <si>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</si>
  <si>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</si>
  <si>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</si>
  <si>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</si>
  <si>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</si>
  <si>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</si>
  <si>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</si>
  <si>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</si>
  <si>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</si>
  <si>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</si>
  <si>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</si>
  <si>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</si>
  <si>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</si>
  <si>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</si>
  <si>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</si>
  <si>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</si>
  <si>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</si>
  <si>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</si>
  <si>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</si>
  <si>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</si>
  <si>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</si>
  <si>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</si>
  <si>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</si>
  <si>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</si>
  <si>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</si>
  <si>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</si>
  <si>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</si>
  <si>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</si>
  <si>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</si>
  <si>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</si>
  <si>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</si>
  <si>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</si>
  <si>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</si>
  <si>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</si>
  <si>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</si>
  <si>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</si>
  <si>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</si>
  <si>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</si>
  <si>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</si>
  <si>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</si>
  <si>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</si>
  <si>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</si>
  <si>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</si>
  <si>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</si>
  <si>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</si>
  <si>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</si>
  <si>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</si>
  <si>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</si>
  <si>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</si>
  <si>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</si>
  <si>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</si>
  <si>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</si>
  <si>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</si>
  <si>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</si>
  <si>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</si>
  <si>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</si>
  <si>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</si>
  <si>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- Р1 «Ежедневный» - факт закрытия суток + плановые данные по условию даты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</si>
  <si>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</si>
  <si>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</si>
  <si>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</si>
  <si>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</si>
  <si>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</si>
  <si>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</si>
  <si>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витрины закрытия и планирования, механизм версий, соответствие ключей VSP09209 / VSP09209_BK строкам 9 и 9.1 (доля 49,6%), маппинг</t>
  </si>
  <si>
    <t xml:space="preserve">Настройка конфигурации: адрес API v1.1, маппинг, окна, расписание с учётом часового пояса UTC+7</t>
  </si>
  <si>
    <t xml:space="preserve">Настройка процесса</t>
  </si>
  <si>
    <t xml:space="preserve">Легкая</t>
  </si>
  <si>
    <t xml:space="preserve">Модуль API портала ВСП: GET, повторы, разбор JSON (объект факта, массивы 31 и 12 значений), выборка ключа VSP09209_BK из общих методов ВСП (переиспользуется в Р2)</t>
  </si>
  <si>
    <t xml:space="preserve">REST/SOAP</t>
  </si>
  <si>
    <t xml:space="preserve">Средняя</t>
  </si>
  <si>
    <t xml:space="preserve">Проверка ответа: дата совпадает, NULL = данных ещё нет (нули не писать)</t>
  </si>
  <si>
    <t xml:space="preserve">Авторизация в ИС ЦОМ, навигация, выбор даты / периода / актуальной версии</t>
  </si>
  <si>
    <t xml:space="preserve">Обработка web-страницы</t>
  </si>
  <si>
    <t xml:space="preserve">Универсальная процедура ввода в сетку ЦОМ («Ввод данных» → ячейка по маппингу → сохранить → проверка сохранения)</t>
  </si>
  <si>
    <t xml:space="preserve">Сложная</t>
  </si>
  <si>
    <t xml:space="preserve">Витрины закрытия: Нефть, Жидкость, ПНГ - факт сут/мес/год + многострочный комментарий, H2O, температура</t>
  </si>
  <si>
    <t xml:space="preserve">Плановые витрины: СГ нефти, План-заявка ПНГ, БП нефти, БП жидкости, ПХД ПНГ (31 или 12 значений)</t>
  </si>
  <si>
    <t xml:space="preserve">Чтение текущих значений витрины через выгрузку XLS, сравнение с API с допуском (округление на экране), журнал записанных значений</t>
  </si>
  <si>
    <t xml:space="preserve">Office App</t>
  </si>
  <si>
    <t xml:space="preserve">Что и когда вносить: перезапрос D и D-1, условие «дата в окне», плановый период, повторы до контрольного времени, запись только отличий</t>
  </si>
  <si>
    <t xml:space="preserve">11</t>
  </si>
  <si>
    <t xml:space="preserve"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- с Горбуновым)</t>
  </si>
  <si>
    <t xml:space="preserve">12</t>
  </si>
  <si>
    <t xml:space="preserve">Ручной запуск за произвольную дату / набор данных</t>
  </si>
  <si>
    <t xml:space="preserve">13</t>
  </si>
  <si>
    <t xml:space="preserve">Формирование отчёта о работе</t>
  </si>
  <si>
    <t xml:space="preserve">14</t>
  </si>
  <si>
    <t xml:space="preserve">Письма о работе, ошибках, созданных версиях</t>
  </si>
  <si>
    <t xml:space="preserve">Почта/Outlook</t>
  </si>
  <si>
    <t xml:space="preserve">15</t>
  </si>
  <si>
    <t xml:space="preserve">Обработка исключений, логирование; изоляция: ошибка планового блока не отменяет внесённый факт</t>
  </si>
  <si>
    <t xml:space="preserve">16</t>
  </si>
  <si>
    <t xml:space="preserve">Хотелки заказчика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</si>
  <si>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</si>
  <si>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</si>
  <si>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</si>
  <si>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</si>
  <si>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</si>
  <si>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</si>
  <si>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</si>
  <si>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</si>
  <si>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</si>
  <si>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</si>
  <si>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</si>
  <si>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</si>
  <si>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</si>
  <si>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</si>
  <si>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</si>
  <si>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</si>
  <si>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</si>
  <si>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</si>
  <si>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</si>
  <si>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</si>
  <si>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</si>
  <si>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</si>
  <si>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</si>
  <si>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</si>
  <si>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</si>
  <si>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</si>
  <si>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</si>
  <si>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</si>
  <si>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</si>
  <si>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</si>
  <si>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</si>
  <si>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</si>
  <si>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«Ежедневный» - факт закрытия суток + плановые данные по условию даты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</si>
  <si>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</si>
  <si>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</si>
  <si>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</si>
  <si>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</si>
  <si>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</si>
  <si>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</si>
  <si>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</si>
  <si>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</si>
  <si>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</si>
  <si>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</si>
  <si>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</si>
  <si>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</si>
  <si>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</si>
  <si>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</si>
  <si>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</si>
  <si>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</si>
  <si>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</si>
  <si>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</si>
  <si>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</si>
  <si>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</si>
  <si>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- Р2 «Оперативный» - мнемосхема Блока 09-2/09 и энергетика (ориентировочно, ±40%)</t>
  </si>
  <si>
    <t xml:space="preserve">Аналитика разработчика после предпроектного обследования: API, таблица мнемосхемы, листы энергетики</t>
  </si>
  <si>
    <t xml:space="preserve">Справочник соответствия «показатель API → строка таблицы» (до 60 строк)</t>
  </si>
  <si>
    <t xml:space="preserve">Адаптер новых методов API (формат не определён), разбор срезов</t>
  </si>
  <si>
    <t xml:space="preserve">Проверка ответа: метка времени среза, NULL</t>
  </si>
  <si>
    <t xml:space="preserve">Внесение до 50 значений в таблицу мнемосхемы (процедура ввода из Р1)</t>
  </si>
  <si>
    <t xml:space="preserve">Внесение до 10 показателей энергетики (Инфраструктура: сводки / вводные данные, несколько листов)</t>
  </si>
  <si>
    <t xml:space="preserve">Частый запуск: защита от наложения циклов, очередь с Р1 на одном боте, догон пропущенных срезов, мониторинг</t>
  </si>
  <si>
    <t xml:space="preserve">Сводный отчёт за сутки</t>
  </si>
  <si>
    <t xml:space="preserve">Письма только при ошибках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</si>
  <si>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</si>
  <si>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«Оперативный» - мнемосхема Блока 09-2/09 и энергетика (ориентировочно, ±40%)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</si>
  <si>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</si>
  <si>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</si>
  <si>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</si>
  <si>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</si>
  <si>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</si>
  <si>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</si>
  <si>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</si>
  <si>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</si>
  <si>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</si>
  <si>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</si>
  <si>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</si>
  <si>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</si>
  <si>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</si>
  <si>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</si>
  <si>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</si>
  <si>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</si>
  <si>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-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</si>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</sst>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3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85.05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262</v>
      </c>
      <c r="G5" s="5" t="n">
        <f aca="false">'Оценка Р1'!I39</f>
        <v>408</v>
      </c>
      <c r="H5" s="6" t="n">
        <f aca="false">'Оценка Р1'!F40</f>
        <v>1444719.84</v>
      </c>
      <c r="I5" s="6" t="n">
        <f aca="false">'Оценка Р1'!F41</f>
        <v>1762558.2048</v>
      </c>
      <c r="J5" s="5" t="n">
        <f aca="false">'Оценка Р1'!G40</f>
        <v>75</v>
      </c>
    </row>
    <row r="6" customFormat="false" ht="49.25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102</v>
      </c>
      <c r="G6" s="5" t="n">
        <f aca="false">'Оценка Р2'!I39</f>
        <v>172</v>
      </c>
      <c r="H6" s="6" t="n">
        <f aca="false">'Оценка Р2'!F40</f>
        <v>609048.56</v>
      </c>
      <c r="I6" s="6" t="n">
        <f aca="false">'Оценка Р2'!F41</f>
        <v>743039.2432</v>
      </c>
      <c r="J6" s="5" t="n">
        <f aca="false">'Оценка Р2'!G40</f>
        <v>33</v>
      </c>
    </row>
    <row r="7" customFormat="false" ht="15" hidden="false" customHeight="false" outlineLevel="0" collapsed="false">
      <c r="A7" s="7"/>
      <c r="B7" s="8" t="s">
        <v>20</v>
      </c>
      <c r="C7" s="7"/>
      <c r="D7" s="7"/>
      <c r="E7" s="7"/>
      <c r="F7" s="9" t="n">
        <f aca="false">SUM(F5:F6)</f>
        <v>364</v>
      </c>
      <c r="G7" s="9" t="n">
        <f aca="false">SUM(G5:G6)</f>
        <v>580</v>
      </c>
      <c r="H7" s="10" t="n">
        <f aca="false">SUM(H5:H6)</f>
        <v>2053768.4</v>
      </c>
      <c r="I7" s="10" t="n">
        <f aca="false">SUM(I5:I6)</f>
        <v>2505597.448</v>
      </c>
      <c r="J7" s="9" t="n">
        <f aca="false">SUM(J5:J6)</f>
        <v>108</v>
      </c>
    </row>
    <row r="8" customFormat="false" ht="15" hidden="false" customHeight="false" outlineLevel="0" collapsed="false">
      <c r="B8" s="2" t="s">
        <v>21</v>
      </c>
      <c r="H8" s="11" t="n">
        <f aca="false">'Оценка Р1'!F4</f>
        <v>3540.98</v>
      </c>
    </row>
    <row r="9" customFormat="false" ht="15" hidden="false" customHeight="false" outlineLevel="0" collapsed="false">
      <c r="B9" s="2" t="s">
        <v>22</v>
      </c>
    </row>
    <row r="11" customFormat="false" ht="15" hidden="false" customHeight="false" outlineLevel="0" collapsed="false">
      <c r="A11" s="12" t="s">
        <v>23</v>
      </c>
    </row>
    <row r="12" customFormat="false" ht="33.75" hidden="false" customHeight="true" outlineLevel="0" collapsed="false">
      <c r="A12" s="13" t="s">
        <v>24</v>
      </c>
      <c r="B12" s="14" t="s">
        <v>25</v>
      </c>
      <c r="C12" s="14"/>
      <c r="D12" s="14"/>
      <c r="E12" s="14"/>
      <c r="F12" s="14"/>
      <c r="G12" s="14"/>
      <c r="H12" s="14"/>
      <c r="I12" s="14"/>
      <c r="J12" s="14"/>
    </row>
    <row r="13" customFormat="false" ht="33.75" hidden="false" customHeight="true" outlineLevel="0" collapsed="false">
      <c r="A13" s="13" t="s">
        <v>26</v>
      </c>
      <c r="B13" s="14" t="s">
        <v>27</v>
      </c>
      <c r="C13" s="14"/>
      <c r="D13" s="14"/>
      <c r="E13" s="14"/>
      <c r="F13" s="14"/>
      <c r="G13" s="14"/>
      <c r="H13" s="14"/>
      <c r="I13" s="14"/>
      <c r="J13" s="14"/>
    </row>
    <row r="14" customFormat="false" ht="33.75" hidden="false" customHeight="true" outlineLevel="0" collapsed="false">
      <c r="A14" s="13" t="s">
        <v>28</v>
      </c>
      <c r="B14" s="14" t="s">
        <v>29</v>
      </c>
      <c r="C14" s="14"/>
      <c r="D14" s="14"/>
      <c r="E14" s="14"/>
      <c r="F14" s="14"/>
      <c r="G14" s="14"/>
      <c r="H14" s="14"/>
      <c r="I14" s="14"/>
      <c r="J14" s="14"/>
    </row>
    <row r="15" customFormat="false" ht="15" hidden="false" customHeight="false" outlineLevel="0" collapsed="false">
      <c r="A15" s="12" t="s">
        <v>30</v>
      </c>
    </row>
    <row r="16" customFormat="false" ht="33.75" hidden="false" customHeight="true" outlineLevel="0" collapsed="false">
      <c r="A16" s="13" t="s">
        <v>31</v>
      </c>
      <c r="B16" s="14" t="s">
        <v>32</v>
      </c>
      <c r="C16" s="14"/>
      <c r="D16" s="14"/>
      <c r="E16" s="14"/>
      <c r="F16" s="14"/>
      <c r="G16" s="14"/>
      <c r="H16" s="14"/>
      <c r="I16" s="14"/>
      <c r="J16" s="14"/>
    </row>
    <row r="17" customFormat="false" ht="33.75" hidden="false" customHeight="true" outlineLevel="0" collapsed="false">
      <c r="A17" s="13" t="s">
        <v>33</v>
      </c>
      <c r="B17" s="14" t="s">
        <v>34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35</v>
      </c>
    </row>
    <row r="19" customFormat="false" ht="33.75" hidden="false" customHeight="true" outlineLevel="0" collapsed="false">
      <c r="A19" s="13" t="s">
        <v>36</v>
      </c>
      <c r="B19" s="14" t="s">
        <v>37</v>
      </c>
      <c r="C19" s="14"/>
      <c r="D19" s="14"/>
      <c r="E19" s="14"/>
      <c r="F19" s="14"/>
      <c r="G19" s="14"/>
      <c r="H19" s="14"/>
      <c r="I19" s="14"/>
      <c r="J19" s="14"/>
    </row>
    <row r="20" customFormat="false" ht="33.75" hidden="false" customHeight="true" outlineLevel="0" collapsed="false">
      <c r="A20" s="13" t="s">
        <v>38</v>
      </c>
      <c r="B20" s="14" t="s">
        <v>39</v>
      </c>
      <c r="C20" s="14"/>
      <c r="D20" s="14"/>
      <c r="E20" s="14"/>
      <c r="F20" s="14"/>
      <c r="G20" s="14"/>
      <c r="H20" s="14"/>
      <c r="I20" s="14"/>
      <c r="J20" s="14"/>
    </row>
    <row r="21" customFormat="false" ht="33.75" hidden="false" customHeight="true" outlineLevel="0" collapsed="false">
      <c r="A21" s="13" t="s">
        <v>40</v>
      </c>
      <c r="B21" s="14" t="s">
        <v>41</v>
      </c>
      <c r="C21" s="14"/>
      <c r="D21" s="14"/>
      <c r="E21" s="14"/>
      <c r="F21" s="14"/>
      <c r="G21" s="14"/>
      <c r="H21" s="14"/>
      <c r="I21" s="14"/>
      <c r="J21" s="14"/>
    </row>
    <row r="22" customFormat="false" ht="33.75" hidden="false" customHeight="true" outlineLevel="0" collapsed="false">
      <c r="A22" s="13" t="s">
        <v>42</v>
      </c>
      <c r="B22" s="14" t="s">
        <v>43</v>
      </c>
      <c r="C22" s="14"/>
      <c r="D22" s="14"/>
      <c r="E22" s="14"/>
      <c r="F22" s="14"/>
      <c r="G22" s="14"/>
      <c r="H22" s="14"/>
      <c r="I22" s="14"/>
      <c r="J22" s="14"/>
    </row>
    <row r="23" customFormat="false" ht="33.75" hidden="false" customHeight="true" outlineLevel="0" collapsed="false">
      <c r="A23" s="13" t="s">
        <v>44</v>
      </c>
      <c r="B23" s="14" t="s">
        <v>45</v>
      </c>
      <c r="C23" s="14"/>
      <c r="D23" s="14"/>
      <c r="E23" s="14"/>
      <c r="F23" s="14"/>
      <c r="G23" s="14"/>
      <c r="H23" s="14"/>
      <c r="I23" s="14"/>
      <c r="J23" s="14"/>
    </row>
    <row r="24" customFormat="false" ht="33.75" hidden="false" customHeight="true" outlineLevel="0" collapsed="false">
      <c r="A24" s="13" t="s">
        <v>46</v>
      </c>
      <c r="B24" s="14" t="s">
        <v>47</v>
      </c>
      <c r="C24" s="14"/>
      <c r="D24" s="14"/>
      <c r="E24" s="14"/>
      <c r="F24" s="14"/>
      <c r="G24" s="14"/>
      <c r="H24" s="14"/>
      <c r="I24" s="14"/>
      <c r="J24" s="14"/>
    </row>
    <row r="25" customFormat="false" ht="33.75" hidden="false" customHeight="true" outlineLevel="0" collapsed="false">
      <c r="A25" s="13" t="s">
        <v>48</v>
      </c>
      <c r="B25" s="14" t="s">
        <v>49</v>
      </c>
      <c r="C25" s="14"/>
      <c r="D25" s="14"/>
      <c r="E25" s="14"/>
      <c r="F25" s="14"/>
      <c r="G25" s="14"/>
      <c r="H25" s="14"/>
      <c r="I25" s="14"/>
      <c r="J25" s="14"/>
    </row>
    <row r="26" customFormat="false" ht="15" hidden="false" customHeight="false" outlineLevel="0" collapsed="false">
      <c r="A26" s="12" t="s">
        <v>50</v>
      </c>
    </row>
    <row r="27" customFormat="false" ht="33.75" hidden="false" customHeight="true" outlineLevel="0" collapsed="false">
      <c r="A27" s="13" t="s">
        <v>51</v>
      </c>
      <c r="B27" s="14" t="s">
        <v>52</v>
      </c>
      <c r="C27" s="14"/>
      <c r="D27" s="14"/>
      <c r="E27" s="14"/>
      <c r="F27" s="14"/>
      <c r="G27" s="14"/>
      <c r="H27" s="14"/>
      <c r="I27" s="14"/>
      <c r="J27" s="14"/>
    </row>
    <row r="28" customFormat="false" ht="33.75" hidden="false" customHeight="true" outlineLevel="0" collapsed="false">
      <c r="A28" s="13" t="s">
        <v>53</v>
      </c>
      <c r="B28" s="14" t="s">
        <v>54</v>
      </c>
      <c r="C28" s="14"/>
      <c r="D28" s="14"/>
      <c r="E28" s="14"/>
      <c r="F28" s="14"/>
      <c r="G28" s="14"/>
      <c r="H28" s="14"/>
      <c r="I28" s="14"/>
      <c r="J28" s="14"/>
    </row>
    <row r="29" customFormat="false" ht="33.75" hidden="false" customHeight="true" outlineLevel="0" collapsed="false">
      <c r="A29" s="13" t="s">
        <v>55</v>
      </c>
      <c r="B29" s="14" t="s">
        <v>56</v>
      </c>
      <c r="C29" s="14"/>
      <c r="D29" s="14"/>
      <c r="E29" s="14"/>
      <c r="F29" s="14"/>
      <c r="G29" s="14"/>
      <c r="H29" s="14"/>
      <c r="I29" s="14"/>
      <c r="J29" s="14"/>
    </row>
    <row r="30" customFormat="false" ht="15" hidden="false" customHeight="false" outlineLevel="0" collapsed="false">
      <c r="A30" s="12" t="s">
        <v>57</v>
      </c>
    </row>
    <row r="31" customFormat="false" ht="33.75" hidden="false" customHeight="true" outlineLevel="0" collapsed="false">
      <c r="A31" s="13" t="s">
        <v>58</v>
      </c>
      <c r="B31" s="14" t="s">
        <v>59</v>
      </c>
      <c r="C31" s="14"/>
      <c r="D31" s="14"/>
      <c r="E31" s="14"/>
      <c r="F31" s="14"/>
      <c r="G31" s="14"/>
      <c r="H31" s="14"/>
      <c r="I31" s="14"/>
      <c r="J31" s="14"/>
    </row>
    <row r="32" customFormat="false" ht="15" hidden="false" customHeight="false" outlineLevel="0" collapsed="false">
      <c r="A32" s="12" t="s">
        <v>60</v>
      </c>
    </row>
    <row r="33" customFormat="false" ht="33.75" hidden="false" customHeight="true" outlineLevel="0" collapsed="false">
      <c r="A33" s="13"/>
      <c r="B33" s="14" t="s">
        <v>61</v>
      </c>
      <c r="C33" s="14"/>
      <c r="D33" s="14"/>
      <c r="E33" s="14"/>
      <c r="F33" s="14"/>
      <c r="G33" s="14"/>
      <c r="H33" s="14"/>
      <c r="I33" s="14"/>
      <c r="J33" s="14"/>
    </row>
  </sheetData>
  <mergeCells count="17">
    <mergeCell ref="B12:J12"/>
    <mergeCell ref="B13:J13"/>
    <mergeCell ref="B14:J14"/>
    <mergeCell ref="B16:J16"/>
    <mergeCell ref="B17:J17"/>
    <mergeCell ref="B19:J19"/>
    <mergeCell ref="B20:J20"/>
    <mergeCell ref="B21:J21"/>
    <mergeCell ref="B22:J22"/>
    <mergeCell ref="B23:J23"/>
    <mergeCell ref="B24:J24"/>
    <mergeCell ref="B25:J25"/>
    <mergeCell ref="B27:J27"/>
    <mergeCell ref="B28:J28"/>
    <mergeCell ref="B29:J29"/>
    <mergeCell ref="B31:J31"/>
    <mergeCell ref="B33:J3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62</v>
      </c>
      <c r="B1" s="20"/>
      <c r="C1" s="20"/>
      <c r="D1" s="20"/>
    </row>
    <row r="2" customFormat="false" ht="18.75" hidden="true" customHeight="true" outlineLevel="0" collapsed="false">
      <c r="A2" s="20" t="s">
        <v>63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64</v>
      </c>
      <c r="C3" s="22" t="s">
        <v>65</v>
      </c>
      <c r="D3" s="23" t="s">
        <v>66</v>
      </c>
    </row>
    <row r="4" s="24" customFormat="true" ht="15.75" hidden="true" customHeight="true" outlineLevel="0" collapsed="false">
      <c r="A4" s="25" t="s">
        <v>24</v>
      </c>
      <c r="B4" s="26" t="s">
        <v>67</v>
      </c>
      <c r="C4" s="26"/>
      <c r="D4" s="26"/>
    </row>
    <row r="5" customFormat="false" ht="15.75" hidden="true" customHeight="true" outlineLevel="0" collapsed="false">
      <c r="A5" s="27" t="s">
        <v>68</v>
      </c>
      <c r="B5" s="28" t="s">
        <v>69</v>
      </c>
      <c r="C5" s="29" t="s">
        <v>70</v>
      </c>
      <c r="D5" s="29"/>
    </row>
    <row r="6" customFormat="false" ht="15.75" hidden="true" customHeight="true" outlineLevel="0" collapsed="false">
      <c r="A6" s="27" t="s">
        <v>71</v>
      </c>
      <c r="B6" s="28" t="s">
        <v>72</v>
      </c>
      <c r="C6" s="29"/>
      <c r="D6" s="29"/>
    </row>
    <row r="7" customFormat="false" ht="15.75" hidden="true" customHeight="true" outlineLevel="0" collapsed="false">
      <c r="A7" s="27" t="s">
        <v>73</v>
      </c>
      <c r="B7" s="28" t="s">
        <v>74</v>
      </c>
      <c r="C7" s="29" t="s">
        <v>75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24</v>
      </c>
      <c r="B10" s="26" t="s">
        <v>76</v>
      </c>
      <c r="C10" s="26"/>
      <c r="D10" s="26"/>
    </row>
    <row r="11" customFormat="false" ht="15" hidden="false" customHeight="false" outlineLevel="0" collapsed="false">
      <c r="A11" s="27" t="s">
        <v>77</v>
      </c>
      <c r="B11" s="28" t="s">
        <v>78</v>
      </c>
      <c r="C11" s="30" t="s">
        <v>79</v>
      </c>
      <c r="D11" s="31"/>
    </row>
    <row r="12" customFormat="false" ht="55.2" hidden="false" customHeight="false" outlineLevel="0" collapsed="false">
      <c r="A12" s="27" t="s">
        <v>71</v>
      </c>
      <c r="B12" s="28" t="s">
        <v>80</v>
      </c>
      <c r="C12" s="30" t="s">
        <v>81</v>
      </c>
      <c r="D12" s="31" t="s">
        <v>82</v>
      </c>
    </row>
    <row r="13" customFormat="false" ht="15" hidden="false" customHeight="false" outlineLevel="0" collapsed="false">
      <c r="A13" s="27" t="s">
        <v>77</v>
      </c>
      <c r="B13" s="28" t="s">
        <v>83</v>
      </c>
      <c r="C13" s="30" t="s">
        <v>79</v>
      </c>
      <c r="D13" s="31" t="s">
        <v>84</v>
      </c>
    </row>
    <row r="14" customFormat="false" ht="45" hidden="false" customHeight="true" outlineLevel="0" collapsed="false">
      <c r="A14" s="27" t="s">
        <v>73</v>
      </c>
      <c r="B14" s="28" t="s">
        <v>85</v>
      </c>
      <c r="C14" s="30" t="s">
        <v>81</v>
      </c>
      <c r="D14" s="31" t="s">
        <v>86</v>
      </c>
    </row>
    <row r="15" customFormat="false" ht="28.35" hidden="false" customHeight="false" outlineLevel="0" collapsed="false">
      <c r="A15" s="27" t="s">
        <v>77</v>
      </c>
      <c r="B15" s="28" t="s">
        <v>87</v>
      </c>
      <c r="C15" s="30" t="s">
        <v>79</v>
      </c>
      <c r="D15" s="31" t="s">
        <v>88</v>
      </c>
    </row>
    <row r="16" customFormat="false" ht="30" hidden="false" customHeight="true" outlineLevel="0" collapsed="false">
      <c r="A16" s="27" t="s">
        <v>89</v>
      </c>
      <c r="B16" s="28" t="s">
        <v>90</v>
      </c>
      <c r="C16" s="30" t="s">
        <v>91</v>
      </c>
      <c r="D16" s="31" t="s">
        <v>92</v>
      </c>
    </row>
    <row r="17" customFormat="false" ht="30" hidden="false" customHeight="true" outlineLevel="0" collapsed="false">
      <c r="A17" s="27" t="s">
        <v>77</v>
      </c>
      <c r="B17" s="28" t="s">
        <v>93</v>
      </c>
      <c r="C17" s="30" t="s">
        <v>79</v>
      </c>
      <c r="D17" s="31" t="s">
        <v>94</v>
      </c>
    </row>
    <row r="18" customFormat="false" ht="45" hidden="false" customHeight="true" outlineLevel="0" collapsed="false">
      <c r="A18" s="27" t="s">
        <v>95</v>
      </c>
      <c r="B18" s="28" t="s">
        <v>96</v>
      </c>
      <c r="C18" s="30" t="s">
        <v>91</v>
      </c>
      <c r="D18" s="31" t="s">
        <v>97</v>
      </c>
    </row>
    <row r="19" s="24" customFormat="true" ht="15.75" hidden="false" customHeight="true" outlineLevel="0" collapsed="false">
      <c r="A19" s="25" t="s">
        <v>31</v>
      </c>
      <c r="B19" s="26" t="s">
        <v>98</v>
      </c>
      <c r="C19" s="26"/>
      <c r="D19" s="26"/>
    </row>
    <row r="20" customFormat="false" ht="30" hidden="false" customHeight="true" outlineLevel="0" collapsed="false">
      <c r="A20" s="27" t="s">
        <v>99</v>
      </c>
      <c r="B20" s="32" t="s">
        <v>100</v>
      </c>
      <c r="C20" s="30" t="s">
        <v>79</v>
      </c>
      <c r="D20" s="31" t="s">
        <v>101</v>
      </c>
    </row>
    <row r="21" customFormat="false" ht="45" hidden="false" customHeight="true" outlineLevel="0" collapsed="false">
      <c r="A21" s="27" t="s">
        <v>102</v>
      </c>
      <c r="B21" s="32" t="s">
        <v>103</v>
      </c>
      <c r="C21" s="30" t="s">
        <v>91</v>
      </c>
      <c r="D21" s="31"/>
    </row>
    <row r="22" customFormat="false" ht="30" hidden="false" customHeight="true" outlineLevel="0" collapsed="false">
      <c r="A22" s="27" t="s">
        <v>104</v>
      </c>
      <c r="B22" s="28" t="s">
        <v>105</v>
      </c>
      <c r="C22" s="30" t="s">
        <v>91</v>
      </c>
      <c r="D22" s="31"/>
    </row>
    <row r="23" customFormat="false" ht="30" hidden="false" customHeight="true" outlineLevel="0" collapsed="false">
      <c r="A23" s="27" t="s">
        <v>106</v>
      </c>
      <c r="B23" s="32" t="s">
        <v>107</v>
      </c>
      <c r="C23" s="30" t="s">
        <v>108</v>
      </c>
      <c r="D23" s="31"/>
    </row>
    <row r="24" customFormat="false" ht="30" hidden="false" customHeight="true" outlineLevel="0" collapsed="false">
      <c r="A24" s="27" t="s">
        <v>109</v>
      </c>
      <c r="B24" s="32" t="s">
        <v>110</v>
      </c>
      <c r="C24" s="30"/>
      <c r="D24" s="31"/>
    </row>
    <row r="25" customFormat="false" ht="15" hidden="false" customHeight="false" outlineLevel="0" collapsed="false">
      <c r="A25" s="27" t="s">
        <v>111</v>
      </c>
      <c r="B25" s="32" t="s">
        <v>112</v>
      </c>
      <c r="C25" s="30" t="s">
        <v>108</v>
      </c>
      <c r="D25" s="31"/>
    </row>
    <row r="26" customFormat="false" ht="45" hidden="false" customHeight="true" outlineLevel="0" collapsed="false">
      <c r="A26" s="27" t="s">
        <v>113</v>
      </c>
      <c r="B26" s="32" t="s">
        <v>114</v>
      </c>
      <c r="C26" s="30"/>
      <c r="D26" s="31"/>
    </row>
    <row r="27" customFormat="false" ht="45" hidden="false" customHeight="true" outlineLevel="0" collapsed="false">
      <c r="A27" s="27" t="s">
        <v>115</v>
      </c>
      <c r="B27" s="32" t="s">
        <v>116</v>
      </c>
      <c r="C27" s="30"/>
      <c r="D27" s="31"/>
    </row>
    <row r="28" customFormat="false" ht="30" hidden="false" customHeight="true" outlineLevel="0" collapsed="false">
      <c r="A28" s="27" t="s">
        <v>117</v>
      </c>
      <c r="B28" s="32" t="s">
        <v>118</v>
      </c>
      <c r="C28" s="30"/>
      <c r="D28" s="31"/>
    </row>
    <row r="29" customFormat="false" ht="30" hidden="false" customHeight="true" outlineLevel="0" collapsed="false">
      <c r="A29" s="27" t="s">
        <v>119</v>
      </c>
      <c r="B29" s="32" t="s">
        <v>120</v>
      </c>
      <c r="C29" s="30" t="s">
        <v>108</v>
      </c>
      <c r="D29" s="31"/>
    </row>
    <row r="30" customFormat="false" ht="30" hidden="false" customHeight="true" outlineLevel="0" collapsed="false">
      <c r="A30" s="27" t="s">
        <v>121</v>
      </c>
      <c r="B30" s="32" t="s">
        <v>122</v>
      </c>
      <c r="C30" s="30" t="s">
        <v>108</v>
      </c>
      <c r="D30" s="31"/>
    </row>
    <row r="31" customFormat="false" ht="30" hidden="false" customHeight="true" outlineLevel="0" collapsed="false">
      <c r="A31" s="27" t="s">
        <v>123</v>
      </c>
      <c r="B31" s="28" t="s">
        <v>124</v>
      </c>
      <c r="C31" s="30" t="s">
        <v>91</v>
      </c>
      <c r="D31" s="31"/>
    </row>
    <row r="32" customFormat="false" ht="30" hidden="false" customHeight="true" outlineLevel="0" collapsed="false">
      <c r="A32" s="27" t="s">
        <v>125</v>
      </c>
      <c r="B32" s="28" t="s">
        <v>126</v>
      </c>
      <c r="C32" s="30" t="s">
        <v>79</v>
      </c>
      <c r="D32" s="31" t="s">
        <v>127</v>
      </c>
    </row>
    <row r="33" customFormat="false" ht="30" hidden="false" customHeight="true" outlineLevel="0" collapsed="false">
      <c r="A33" s="27" t="s">
        <v>128</v>
      </c>
      <c r="B33" s="28" t="s">
        <v>129</v>
      </c>
      <c r="C33" s="30" t="s">
        <v>91</v>
      </c>
      <c r="D33" s="31" t="s">
        <v>130</v>
      </c>
    </row>
    <row r="34" customFormat="false" ht="60" hidden="false" customHeight="true" outlineLevel="0" collapsed="false">
      <c r="A34" s="27" t="s">
        <v>131</v>
      </c>
      <c r="B34" s="28" t="s">
        <v>132</v>
      </c>
      <c r="C34" s="30" t="s">
        <v>91</v>
      </c>
      <c r="D34" s="31"/>
    </row>
    <row r="35" customFormat="false" ht="30" hidden="false" customHeight="true" outlineLevel="0" collapsed="false">
      <c r="A35" s="27" t="s">
        <v>133</v>
      </c>
      <c r="B35" s="28" t="s">
        <v>134</v>
      </c>
      <c r="C35" s="30" t="s">
        <v>91</v>
      </c>
      <c r="D35" s="31"/>
    </row>
    <row r="36" customFormat="false" ht="15" hidden="false" customHeight="false" outlineLevel="0" collapsed="false">
      <c r="A36" s="27" t="s">
        <v>135</v>
      </c>
      <c r="B36" s="28" t="s">
        <v>136</v>
      </c>
      <c r="C36" s="30" t="s">
        <v>91</v>
      </c>
      <c r="D36" s="31" t="s">
        <v>137</v>
      </c>
    </row>
    <row r="37" customFormat="false" ht="30" hidden="false" customHeight="true" outlineLevel="0" collapsed="false">
      <c r="A37" s="27" t="s">
        <v>138</v>
      </c>
      <c r="B37" s="28" t="s">
        <v>139</v>
      </c>
      <c r="C37" s="30" t="s">
        <v>79</v>
      </c>
      <c r="D37" s="31" t="s">
        <v>140</v>
      </c>
    </row>
    <row r="38" customFormat="false" ht="30" hidden="false" customHeight="true" outlineLevel="0" collapsed="false">
      <c r="A38" s="27" t="s">
        <v>141</v>
      </c>
      <c r="B38" s="28" t="s">
        <v>142</v>
      </c>
      <c r="C38" s="30" t="s">
        <v>79</v>
      </c>
      <c r="D38" s="31" t="s">
        <v>143</v>
      </c>
    </row>
    <row r="39" s="24" customFormat="true" ht="15.75" hidden="false" customHeight="true" outlineLevel="0" collapsed="false">
      <c r="A39" s="25" t="s">
        <v>36</v>
      </c>
      <c r="B39" s="26" t="s">
        <v>144</v>
      </c>
      <c r="C39" s="26"/>
      <c r="D39" s="26"/>
    </row>
    <row r="40" customFormat="false" ht="30" hidden="false" customHeight="true" outlineLevel="0" collapsed="false">
      <c r="A40" s="27" t="s">
        <v>145</v>
      </c>
      <c r="B40" s="28" t="s">
        <v>146</v>
      </c>
      <c r="C40" s="30" t="s">
        <v>79</v>
      </c>
      <c r="D40" s="31"/>
    </row>
    <row r="41" customFormat="false" ht="45" hidden="false" customHeight="true" outlineLevel="0" collapsed="false">
      <c r="A41" s="27" t="s">
        <v>147</v>
      </c>
      <c r="B41" s="28" t="s">
        <v>148</v>
      </c>
      <c r="C41" s="30" t="s">
        <v>79</v>
      </c>
      <c r="D41" s="31" t="s">
        <v>149</v>
      </c>
    </row>
    <row r="42" customFormat="false" ht="30" hidden="false" customHeight="true" outlineLevel="0" collapsed="false">
      <c r="A42" s="27" t="s">
        <v>150</v>
      </c>
      <c r="B42" s="28" t="s">
        <v>151</v>
      </c>
      <c r="C42" s="30" t="s">
        <v>91</v>
      </c>
      <c r="D42" s="31" t="s">
        <v>97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152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153</v>
      </c>
      <c r="C2" s="39" t="s">
        <v>154</v>
      </c>
      <c r="D2" s="39" t="s">
        <v>155</v>
      </c>
      <c r="E2" s="40" t="s">
        <v>156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157</v>
      </c>
      <c r="F3" s="40" t="s">
        <v>158</v>
      </c>
    </row>
    <row r="4" s="45" customFormat="true" ht="55.2" hidden="false" customHeight="false" outlineLevel="0" collapsed="false">
      <c r="A4" s="41" t="s">
        <v>24</v>
      </c>
      <c r="B4" s="41" t="s">
        <v>159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20</v>
      </c>
    </row>
    <row r="5" s="45" customFormat="true" ht="30" hidden="false" customHeight="true" outlineLevel="0" collapsed="false">
      <c r="A5" s="41" t="s">
        <v>31</v>
      </c>
      <c r="B5" s="41" t="s">
        <v>160</v>
      </c>
      <c r="C5" s="42" t="s">
        <v>161</v>
      </c>
      <c r="D5" s="42" t="s">
        <v>162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36</v>
      </c>
      <c r="B6" s="41" t="s">
        <v>163</v>
      </c>
      <c r="C6" s="42" t="s">
        <v>164</v>
      </c>
      <c r="D6" s="42" t="s">
        <v>165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32</v>
      </c>
    </row>
    <row r="7" s="45" customFormat="true" ht="60" hidden="false" customHeight="true" outlineLevel="0" collapsed="false">
      <c r="A7" s="41" t="s">
        <v>38</v>
      </c>
      <c r="B7" s="41" t="s">
        <v>166</v>
      </c>
      <c r="C7" s="42" t="s">
        <v>161</v>
      </c>
      <c r="D7" s="42" t="s">
        <v>162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6</v>
      </c>
    </row>
    <row r="8" s="45" customFormat="true" ht="45" hidden="false" customHeight="true" outlineLevel="0" collapsed="false">
      <c r="A8" s="41" t="s">
        <v>40</v>
      </c>
      <c r="B8" s="41" t="s">
        <v>167</v>
      </c>
      <c r="C8" s="42" t="s">
        <v>168</v>
      </c>
      <c r="D8" s="42" t="s">
        <v>165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41.75" hidden="false" customHeight="false" outlineLevel="0" collapsed="false">
      <c r="A9" s="41" t="s">
        <v>42</v>
      </c>
      <c r="B9" s="41" t="s">
        <v>169</v>
      </c>
      <c r="C9" s="42" t="s">
        <v>168</v>
      </c>
      <c r="D9" s="42" t="s">
        <v>170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32</v>
      </c>
    </row>
    <row r="10" s="45" customFormat="true" ht="41.75" hidden="false" customHeight="false" outlineLevel="0" collapsed="false">
      <c r="A10" s="41" t="s">
        <v>44</v>
      </c>
      <c r="B10" s="41" t="s">
        <v>171</v>
      </c>
      <c r="C10" s="42" t="s">
        <v>168</v>
      </c>
      <c r="D10" s="42" t="s">
        <v>165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14</v>
      </c>
      <c r="F10" s="44" t="n">
        <v>22</v>
      </c>
    </row>
    <row r="11" s="45" customFormat="true" ht="30" hidden="false" customHeight="true" outlineLevel="0" collapsed="false">
      <c r="A11" s="41" t="s">
        <v>46</v>
      </c>
      <c r="B11" s="41" t="s">
        <v>172</v>
      </c>
      <c r="C11" s="42" t="s">
        <v>168</v>
      </c>
      <c r="D11" s="42" t="s">
        <v>165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22</v>
      </c>
    </row>
    <row r="12" s="45" customFormat="true" ht="15.75" hidden="false" customHeight="true" outlineLevel="0" collapsed="false">
      <c r="A12" s="41" t="s">
        <v>48</v>
      </c>
      <c r="B12" s="41" t="s">
        <v>173</v>
      </c>
      <c r="C12" s="42" t="s">
        <v>174</v>
      </c>
      <c r="D12" s="42" t="s">
        <v>165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11</v>
      </c>
      <c r="F12" s="44" t="n">
        <v>10</v>
      </c>
    </row>
    <row r="13" s="45" customFormat="true" ht="41.75" hidden="false" customHeight="false" outlineLevel="0" collapsed="false">
      <c r="A13" s="41" t="s">
        <v>58</v>
      </c>
      <c r="B13" s="41" t="s">
        <v>175</v>
      </c>
      <c r="C13" s="42" t="s">
        <v>161</v>
      </c>
      <c r="D13" s="42" t="s">
        <v>170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28</v>
      </c>
    </row>
    <row r="14" s="45" customFormat="true" ht="55.2" hidden="false" customHeight="false" outlineLevel="0" collapsed="false">
      <c r="A14" s="41" t="s">
        <v>176</v>
      </c>
      <c r="B14" s="41" t="s">
        <v>177</v>
      </c>
      <c r="C14" s="42" t="s">
        <v>168</v>
      </c>
      <c r="D14" s="42" t="s">
        <v>170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32</v>
      </c>
      <c r="F14" s="44" t="n">
        <v>32</v>
      </c>
    </row>
    <row r="15" s="45" customFormat="true" ht="15" hidden="false" customHeight="false" outlineLevel="0" collapsed="false">
      <c r="A15" s="41" t="s">
        <v>178</v>
      </c>
      <c r="B15" s="41" t="s">
        <v>179</v>
      </c>
      <c r="C15" s="42" t="s">
        <v>161</v>
      </c>
      <c r="D15" s="42" t="s">
        <v>162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6</v>
      </c>
    </row>
    <row r="16" s="45" customFormat="true" ht="15" hidden="false" customHeight="false" outlineLevel="0" collapsed="false">
      <c r="A16" s="41" t="s">
        <v>180</v>
      </c>
      <c r="B16" s="41" t="s">
        <v>181</v>
      </c>
      <c r="C16" s="42" t="s">
        <v>174</v>
      </c>
      <c r="D16" s="42" t="s">
        <v>162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6</v>
      </c>
      <c r="F16" s="44" t="n">
        <v>4</v>
      </c>
    </row>
    <row r="17" customFormat="false" ht="15" hidden="false" customHeight="false" outlineLevel="0" collapsed="false">
      <c r="A17" s="46" t="s">
        <v>182</v>
      </c>
      <c r="B17" s="41" t="s">
        <v>183</v>
      </c>
      <c r="C17" s="47" t="s">
        <v>184</v>
      </c>
      <c r="D17" s="47" t="s">
        <v>162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6</v>
      </c>
      <c r="F17" s="49" t="n">
        <v>4</v>
      </c>
    </row>
    <row r="18" customFormat="false" ht="28.35" hidden="false" customHeight="false" outlineLevel="0" collapsed="false">
      <c r="A18" s="46" t="s">
        <v>185</v>
      </c>
      <c r="B18" s="41" t="s">
        <v>186</v>
      </c>
      <c r="C18" s="47" t="s">
        <v>161</v>
      </c>
      <c r="D18" s="47" t="s">
        <v>165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16</v>
      </c>
      <c r="F18" s="49" t="n">
        <v>16</v>
      </c>
    </row>
    <row r="19" customFormat="false" ht="15" hidden="false" customHeight="false" outlineLevel="0" collapsed="false">
      <c r="A19" s="46" t="s">
        <v>187</v>
      </c>
      <c r="B19" s="41" t="s">
        <v>188</v>
      </c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49" t="n">
        <v>8</v>
      </c>
    </row>
    <row r="20" customFormat="false" ht="15" hidden="false" customHeight="false" outlineLevel="0" collapsed="false">
      <c r="A20" s="46" t="s">
        <v>189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190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191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192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193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194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195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196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197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198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199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200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201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202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203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204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205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206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207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208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209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210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211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212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213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214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215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216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217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218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219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220</v>
      </c>
      <c r="B51" s="52"/>
      <c r="C51" s="52"/>
      <c r="D51" s="52"/>
      <c r="E51" s="53" t="n">
        <f aca="false">SUM(E4:E50)</f>
        <v>227</v>
      </c>
      <c r="F51" s="53" t="n">
        <f aca="false">SUM(F4:F50)</f>
        <v>262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221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222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223</v>
      </c>
      <c r="C5" s="66" t="s">
        <v>224</v>
      </c>
      <c r="D5" s="66"/>
      <c r="E5" s="66" t="s">
        <v>225</v>
      </c>
      <c r="F5" s="66" t="s">
        <v>226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227</v>
      </c>
      <c r="C6" s="73" t="s">
        <v>228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5</v>
      </c>
    </row>
    <row r="7" customFormat="false" ht="35.25" hidden="false" customHeight="true" outlineLevel="0" collapsed="false">
      <c r="A7" s="71"/>
      <c r="B7" s="71"/>
      <c r="C7" s="73" t="s">
        <v>227</v>
      </c>
      <c r="D7" s="73"/>
      <c r="E7" s="74" t="n">
        <v>24</v>
      </c>
      <c r="F7" s="75" t="n">
        <f aca="false">E7*$F$4</f>
        <v>84983.52</v>
      </c>
      <c r="G7" s="76"/>
    </row>
    <row r="8" customFormat="false" ht="68.25" hidden="false" customHeight="true" outlineLevel="0" collapsed="false">
      <c r="A8" s="77" t="s">
        <v>31</v>
      </c>
      <c r="B8" s="71" t="s">
        <v>229</v>
      </c>
      <c r="C8" s="73" t="s">
        <v>230</v>
      </c>
      <c r="D8" s="73"/>
      <c r="E8" s="75" t="n">
        <f aca="false">SUM(E9:E33)</f>
        <v>262</v>
      </c>
      <c r="F8" s="75" t="n">
        <f aca="false">E8*$F$4</f>
        <v>927736.76</v>
      </c>
      <c r="G8" s="78" t="n">
        <f aca="false">ROUNDUP(E8/8,0)</f>
        <v>33</v>
      </c>
    </row>
    <row r="9" customFormat="false" ht="95.5" hidden="false" customHeight="false" outlineLevel="0" collapsed="false">
      <c r="A9" s="77"/>
      <c r="B9" s="77"/>
      <c r="C9" s="46" t="s">
        <v>24</v>
      </c>
      <c r="D9" s="41" t="str">
        <f aca="false">'Настройка Р1'!B4</f>
        <v>Аналитика разработчика: витрины закрытия и планирования, механизм версий, соответствие ключей VSP09209 / VSP09209_BK строкам 9 и 9.1 (доля 49,6%), маппинг</v>
      </c>
      <c r="E9" s="79" t="n">
        <f aca="false">'Настройка Р1'!F4</f>
        <v>20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31</v>
      </c>
      <c r="D10" s="41" t="str">
        <f aca="false">'Настройка Р1'!B5</f>
        <v>Настройка конфигурации: адрес API v1.1, маппинг, окна, расписание с учётом часового пояса UTC+7</v>
      </c>
      <c r="E10" s="79" t="n">
        <f aca="false">'Настройка Р1'!F5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36</v>
      </c>
      <c r="D11" s="41" t="str">
        <f aca="false">'Настройка Р1'!B6</f>
        <v>Модуль API портала ВСП: GET, повторы, разбор JSON (объект факта, массивы 31 и 12 значений), выборка ключа VSP09209_BK из общих методов ВСП (переиспользуется в Р2)</v>
      </c>
      <c r="E11" s="79" t="n">
        <f aca="false">'Настройка Р1'!F6</f>
        <v>32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38</v>
      </c>
      <c r="D12" s="41" t="str">
        <f aca="false">'Настройка Р1'!B7</f>
        <v>Проверка ответа: дата совпадает, NULL = данных ещё нет (нули не писать)</v>
      </c>
      <c r="E12" s="79" t="n">
        <f aca="false">'Настройка Р1'!F7</f>
        <v>6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40</v>
      </c>
      <c r="D13" s="41" t="str">
        <f aca="false">'Настройка Р1'!B8</f>
        <v>Авторизация в ИС ЦОМ, навигация, выбор даты / периода / актуальной версии</v>
      </c>
      <c r="E13" s="79" t="n">
        <f aca="false">'Настройка Р1'!F8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42</v>
      </c>
      <c r="D14" s="41" t="str">
        <f aca="false">'Настройка Р1'!B9</f>
        <v>Универсальная процедура ввода в сетку ЦОМ («Ввод данных» → ячейка по маппингу → сохранить → проверка сохранения)</v>
      </c>
      <c r="E14" s="79" t="n">
        <f aca="false">'Настройка Р1'!F9</f>
        <v>32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44</v>
      </c>
      <c r="D15" s="41" t="str">
        <f aca="false">'Настройка Р1'!B10</f>
        <v>Витрины закрытия: Нефть, Жидкость, ПНГ - факт сут/мес/год + многострочный комментарий, H2O, температура</v>
      </c>
      <c r="E15" s="79" t="n">
        <f aca="false">'Настройка Р1'!F10</f>
        <v>22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46</v>
      </c>
      <c r="D16" s="41" t="str">
        <f aca="false">'Настройка Р1'!B11</f>
        <v>Плановые витрины: СГ нефти, План-заявка ПНГ, БП нефти, БП жидкости, ПХД ПНГ (31 или 12 значений)</v>
      </c>
      <c r="E16" s="79" t="n">
        <f aca="false">'Настройка Р1'!F11</f>
        <v>22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48</v>
      </c>
      <c r="D17" s="41" t="str">
        <f aca="false">'Настройка Р1'!B12</f>
        <v>Чтение текущих значений витрины через выгрузку XLS, сравнение с API с допуском (округление на экране), журнал записанных значений</v>
      </c>
      <c r="E17" s="79" t="n">
        <f aca="false">'Настройка Р1'!F12</f>
        <v>10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58</v>
      </c>
      <c r="D18" s="41" t="str">
        <f aca="false">'Настройка Р1'!B13</f>
        <v>Что и когда вносить: перезапрос D и D-1, условие «дата в окне», плановый период, повторы до контрольного времени, запись только отличий</v>
      </c>
      <c r="E18" s="79" t="n">
        <f aca="false">'Настройка Р1'!F13</f>
        <v>28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176</v>
      </c>
      <c r="D19" s="41" t="str">
        <f aca="false">'Настройка Р1'!B14</f>
        <v>Версии планов: реакция на новую версию, созданную интеграцией (дозаполнить столбец 09-2/09), создание версии роботом «Добавить версию» при изменении только данных 09-2/09 (правило - с Горбуновым)</v>
      </c>
      <c r="E19" s="79" t="n">
        <f aca="false">'Настройка Р1'!F14</f>
        <v>32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178</v>
      </c>
      <c r="D20" s="41" t="str">
        <f aca="false">'Настройка Р1'!B15</f>
        <v>Ручной запуск за произвольную дату / набор данных</v>
      </c>
      <c r="E20" s="79" t="n">
        <f aca="false">'Настройка Р1'!F15</f>
        <v>6</v>
      </c>
      <c r="F20" s="75"/>
      <c r="G20" s="78"/>
    </row>
    <row r="21" customFormat="false" ht="15" hidden="false" customHeight="false" outlineLevel="0" collapsed="false">
      <c r="A21" s="77"/>
      <c r="B21" s="77"/>
      <c r="C21" s="46" t="s">
        <v>180</v>
      </c>
      <c r="D21" s="41" t="str">
        <f aca="false">'Настройка Р1'!B16</f>
        <v>Формирование отчёта о работе</v>
      </c>
      <c r="E21" s="79" t="n">
        <f aca="false">'Настройка Р1'!F16</f>
        <v>4</v>
      </c>
      <c r="F21" s="75"/>
      <c r="G21" s="78"/>
    </row>
    <row r="22" customFormat="false" ht="28.35" hidden="false" customHeight="false" outlineLevel="0" collapsed="false">
      <c r="A22" s="77"/>
      <c r="B22" s="77"/>
      <c r="C22" s="46" t="s">
        <v>182</v>
      </c>
      <c r="D22" s="41" t="str">
        <f aca="false">'Настройка Р1'!B17</f>
        <v>Письма о работе, ошибках, созданных версиях</v>
      </c>
      <c r="E22" s="80" t="n">
        <f aca="false">'Настройка Р1'!F17</f>
        <v>4</v>
      </c>
      <c r="F22" s="75"/>
      <c r="G22" s="78"/>
    </row>
    <row r="23" customFormat="false" ht="55.2" hidden="false" customHeight="false" outlineLevel="0" collapsed="false">
      <c r="A23" s="77"/>
      <c r="B23" s="77"/>
      <c r="C23" s="46" t="s">
        <v>185</v>
      </c>
      <c r="D23" s="41" t="str">
        <f aca="false">'Настройка Р1'!B18</f>
        <v>Обработка исключений, логирование; изоляция: ошибка планового блока не отменяет внесённый факт</v>
      </c>
      <c r="E23" s="80" t="n">
        <f aca="false">'Настройка Р1'!F18</f>
        <v>16</v>
      </c>
      <c r="F23" s="75"/>
      <c r="G23" s="78"/>
    </row>
    <row r="24" customFormat="false" ht="15" hidden="false" customHeight="false" outlineLevel="0" collapsed="false">
      <c r="A24" s="77"/>
      <c r="B24" s="77"/>
      <c r="C24" s="46" t="s">
        <v>187</v>
      </c>
      <c r="D24" s="41" t="str">
        <f aca="false">'Настройка Р1'!B19</f>
        <v>Хотелки заказчика</v>
      </c>
      <c r="E24" s="80" t="n">
        <f aca="false">'Настройка Р1'!F19</f>
        <v>8</v>
      </c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231</v>
      </c>
      <c r="D34" s="73"/>
      <c r="E34" s="74" t="n">
        <v>30</v>
      </c>
      <c r="F34" s="75" t="n">
        <f aca="false">E34*$F$4</f>
        <v>106229.4</v>
      </c>
      <c r="G34" s="82" t="n">
        <f aca="false">ROUNDUP((E34+E35+E36)/8/0.3,0)</f>
        <v>22</v>
      </c>
    </row>
    <row r="35" customFormat="false" ht="67.5" hidden="false" customHeight="true" outlineLevel="0" collapsed="false">
      <c r="A35" s="77"/>
      <c r="B35" s="83" t="s">
        <v>232</v>
      </c>
      <c r="C35" s="73" t="s">
        <v>233</v>
      </c>
      <c r="D35" s="73"/>
      <c r="E35" s="74" t="n">
        <v>16</v>
      </c>
      <c r="F35" s="75" t="n">
        <f aca="false">E35*$F$4</f>
        <v>56655.68</v>
      </c>
      <c r="G35" s="82"/>
    </row>
    <row r="36" customFormat="false" ht="48.75" hidden="false" customHeight="true" outlineLevel="0" collapsed="false">
      <c r="A36" s="77"/>
      <c r="B36" s="83"/>
      <c r="C36" s="73" t="s">
        <v>234</v>
      </c>
      <c r="D36" s="73"/>
      <c r="E36" s="74" t="n">
        <v>6</v>
      </c>
      <c r="F36" s="75" t="n">
        <f aca="false">E36*$F$4</f>
        <v>21245.88</v>
      </c>
      <c r="G36" s="82"/>
    </row>
    <row r="37" customFormat="false" ht="46.5" hidden="false" customHeight="true" outlineLevel="0" collapsed="false">
      <c r="A37" s="71" t="s">
        <v>36</v>
      </c>
      <c r="B37" s="72" t="s">
        <v>235</v>
      </c>
      <c r="C37" s="73" t="s">
        <v>236</v>
      </c>
      <c r="D37" s="73"/>
      <c r="E37" s="74" t="n">
        <v>14</v>
      </c>
      <c r="F37" s="75" t="n">
        <f aca="false">E37*$F$4</f>
        <v>49573.72</v>
      </c>
      <c r="G37" s="82" t="n">
        <f aca="false">ROUNDUP((E37+E38+E39)/8/0.5,0)</f>
        <v>15</v>
      </c>
    </row>
    <row r="38" customFormat="false" ht="48.75" hidden="false" customHeight="true" outlineLevel="0" collapsed="false">
      <c r="A38" s="71"/>
      <c r="B38" s="71"/>
      <c r="C38" s="73" t="s">
        <v>237</v>
      </c>
      <c r="D38" s="73"/>
      <c r="E38" s="74" t="n">
        <v>36</v>
      </c>
      <c r="F38" s="75" t="n">
        <f aca="false">E38*$F$4</f>
        <v>127475.28</v>
      </c>
      <c r="G38" s="82"/>
    </row>
    <row r="39" customFormat="false" ht="45" hidden="false" customHeight="true" outlineLevel="0" collapsed="false">
      <c r="A39" s="71"/>
      <c r="B39" s="71"/>
      <c r="C39" s="73" t="s">
        <v>238</v>
      </c>
      <c r="D39" s="73"/>
      <c r="E39" s="74" t="n">
        <v>8</v>
      </c>
      <c r="F39" s="75" t="n">
        <f aca="false">E39*$F$4</f>
        <v>28327.84</v>
      </c>
      <c r="G39" s="82"/>
      <c r="H39" s="12" t="s">
        <v>239</v>
      </c>
      <c r="I39" s="84" t="n">
        <f aca="false">E6+E7+E8+SUM(E34:E39)</f>
        <v>408</v>
      </c>
    </row>
    <row r="40" s="87" customFormat="true" ht="15" hidden="false" customHeight="true" outlineLevel="0" collapsed="false">
      <c r="A40" s="85" t="s">
        <v>240</v>
      </c>
      <c r="B40" s="85"/>
      <c r="C40" s="85"/>
      <c r="D40" s="85"/>
      <c r="E40" s="85"/>
      <c r="F40" s="85" t="n">
        <f aca="false">SUM(F6:F39)</f>
        <v>1444719.84</v>
      </c>
      <c r="G40" s="86" t="n">
        <f aca="false">SUM(G6:G39)</f>
        <v>75</v>
      </c>
      <c r="H40" s="55"/>
      <c r="I40" s="55"/>
      <c r="J40" s="55"/>
    </row>
    <row r="41" s="87" customFormat="true" ht="14.25" hidden="false" customHeight="true" outlineLevel="0" collapsed="false">
      <c r="A41" s="88" t="s">
        <v>241</v>
      </c>
      <c r="B41" s="88"/>
      <c r="C41" s="88"/>
      <c r="D41" s="88"/>
      <c r="E41" s="88"/>
      <c r="F41" s="87" t="n">
        <f aca="false">F40*1.22</f>
        <v>1762558.2048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242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153</v>
      </c>
      <c r="C2" s="39" t="s">
        <v>154</v>
      </c>
      <c r="D2" s="39" t="s">
        <v>155</v>
      </c>
      <c r="E2" s="40" t="s">
        <v>156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157</v>
      </c>
      <c r="F3" s="40" t="s">
        <v>158</v>
      </c>
    </row>
    <row r="4" s="45" customFormat="true" ht="28.35" hidden="false" customHeight="false" outlineLevel="0" collapsed="false">
      <c r="A4" s="41" t="s">
        <v>24</v>
      </c>
      <c r="B4" s="41" t="s">
        <v>243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12</v>
      </c>
    </row>
    <row r="5" s="45" customFormat="true" ht="30" hidden="false" customHeight="true" outlineLevel="0" collapsed="false">
      <c r="A5" s="41" t="s">
        <v>31</v>
      </c>
      <c r="B5" s="41" t="s">
        <v>244</v>
      </c>
      <c r="C5" s="42" t="s">
        <v>174</v>
      </c>
      <c r="D5" s="42" t="s">
        <v>162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6</v>
      </c>
      <c r="F5" s="44" t="n">
        <v>6</v>
      </c>
    </row>
    <row r="6" s="45" customFormat="true" ht="30" hidden="false" customHeight="true" outlineLevel="0" collapsed="false">
      <c r="A6" s="41" t="s">
        <v>36</v>
      </c>
      <c r="B6" s="41" t="s">
        <v>245</v>
      </c>
      <c r="C6" s="42" t="s">
        <v>164</v>
      </c>
      <c r="D6" s="42" t="s">
        <v>165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24</v>
      </c>
    </row>
    <row r="7" s="45" customFormat="true" ht="60" hidden="false" customHeight="true" outlineLevel="0" collapsed="false">
      <c r="A7" s="41" t="s">
        <v>38</v>
      </c>
      <c r="B7" s="41" t="s">
        <v>246</v>
      </c>
      <c r="C7" s="42" t="s">
        <v>161</v>
      </c>
      <c r="D7" s="42" t="s">
        <v>162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6</v>
      </c>
      <c r="F7" s="44" t="n">
        <v>4</v>
      </c>
    </row>
    <row r="8" s="45" customFormat="true" ht="45" hidden="false" customHeight="true" outlineLevel="0" collapsed="false">
      <c r="A8" s="41" t="s">
        <v>40</v>
      </c>
      <c r="B8" s="41" t="s">
        <v>247</v>
      </c>
      <c r="C8" s="42" t="s">
        <v>168</v>
      </c>
      <c r="D8" s="42" t="s">
        <v>165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14</v>
      </c>
      <c r="F8" s="44" t="n">
        <v>14</v>
      </c>
    </row>
    <row r="9" s="45" customFormat="true" ht="28.35" hidden="false" customHeight="false" outlineLevel="0" collapsed="false">
      <c r="A9" s="41" t="s">
        <v>42</v>
      </c>
      <c r="B9" s="41" t="s">
        <v>248</v>
      </c>
      <c r="C9" s="42" t="s">
        <v>168</v>
      </c>
      <c r="D9" s="42" t="s">
        <v>165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14</v>
      </c>
    </row>
    <row r="10" s="45" customFormat="true" ht="28.35" hidden="false" customHeight="false" outlineLevel="0" collapsed="false">
      <c r="A10" s="41" t="s">
        <v>44</v>
      </c>
      <c r="B10" s="41" t="s">
        <v>249</v>
      </c>
      <c r="C10" s="42" t="s">
        <v>161</v>
      </c>
      <c r="D10" s="42" t="s">
        <v>170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16</v>
      </c>
    </row>
    <row r="11" s="45" customFormat="true" ht="30" hidden="false" customHeight="true" outlineLevel="0" collapsed="false">
      <c r="A11" s="41" t="s">
        <v>46</v>
      </c>
      <c r="B11" s="41" t="s">
        <v>250</v>
      </c>
      <c r="C11" s="42" t="s">
        <v>174</v>
      </c>
      <c r="D11" s="42" t="s">
        <v>162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6</v>
      </c>
      <c r="F11" s="44" t="n">
        <v>2</v>
      </c>
    </row>
    <row r="12" s="45" customFormat="true" ht="15.75" hidden="false" customHeight="true" outlineLevel="0" collapsed="false">
      <c r="A12" s="41" t="s">
        <v>48</v>
      </c>
      <c r="B12" s="41" t="s">
        <v>251</v>
      </c>
      <c r="C12" s="42" t="s">
        <v>184</v>
      </c>
      <c r="D12" s="42" t="s">
        <v>162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6</v>
      </c>
      <c r="F12" s="44" t="n">
        <v>2</v>
      </c>
    </row>
    <row r="13" s="45" customFormat="true" ht="15" hidden="false" customHeight="false" outlineLevel="0" collapsed="false">
      <c r="A13" s="41" t="s">
        <v>58</v>
      </c>
      <c r="B13" s="41" t="s">
        <v>252</v>
      </c>
      <c r="C13" s="42" t="s">
        <v>161</v>
      </c>
      <c r="D13" s="42" t="s">
        <v>162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6</v>
      </c>
      <c r="F13" s="44" t="n">
        <v>8</v>
      </c>
    </row>
    <row r="14" s="45" customFormat="true" ht="15" hidden="false" customHeight="false" outlineLevel="0" collapsed="false">
      <c r="A14" s="41" t="s">
        <v>176</v>
      </c>
      <c r="B14" s="41"/>
      <c r="C14" s="42"/>
      <c r="D14" s="42"/>
      <c r="E14" s="43" t="n">
        <f aca="false">IF(OR(C14="",D14=""),0,SUMIFS('Оценка сложности задач'!$G$2:$G$40,'Оценка сложности задач'!$A$2:$A$40,C14,'Оценка сложности задач'!$B$2:$B$40,D14))</f>
        <v>0</v>
      </c>
      <c r="F14" s="91"/>
    </row>
    <row r="15" s="45" customFormat="true" ht="15" hidden="false" customHeight="false" outlineLevel="0" collapsed="false">
      <c r="A15" s="41" t="s">
        <v>178</v>
      </c>
      <c r="B15" s="41"/>
      <c r="C15" s="42"/>
      <c r="D15" s="42"/>
      <c r="E15" s="43" t="n">
        <f aca="false">IF(OR(C15="",D15=""),0,SUMIFS('Оценка сложности задач'!$G$2:$G$40,'Оценка сложности задач'!$A$2:$A$40,C15,'Оценка сложности задач'!$B$2:$B$40,D15))</f>
        <v>0</v>
      </c>
      <c r="F15" s="91"/>
    </row>
    <row r="16" s="45" customFormat="true" ht="15" hidden="false" customHeight="false" outlineLevel="0" collapsed="false">
      <c r="A16" s="41" t="s">
        <v>180</v>
      </c>
      <c r="B16" s="41"/>
      <c r="C16" s="42"/>
      <c r="D16" s="42"/>
      <c r="E16" s="43" t="n">
        <f aca="false">IF(OR(C16="",D16=""),0,SUMIFS('Оценка сложности задач'!$G$2:$G$40,'Оценка сложности задач'!$A$2:$A$40,C16,'Оценка сложности задач'!$B$2:$B$40,D16))</f>
        <v>0</v>
      </c>
      <c r="F16" s="91"/>
    </row>
    <row r="17" customFormat="false" ht="15" hidden="false" customHeight="false" outlineLevel="0" collapsed="false">
      <c r="A17" s="46" t="s">
        <v>182</v>
      </c>
      <c r="B17" s="41"/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50"/>
    </row>
    <row r="18" customFormat="false" ht="15" hidden="false" customHeight="false" outlineLevel="0" collapsed="false">
      <c r="A18" s="46" t="s">
        <v>185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187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189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190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191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192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193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194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195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196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197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198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199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200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201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202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203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204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205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206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207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208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209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210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211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212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213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214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215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216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217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218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219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220</v>
      </c>
      <c r="B51" s="52"/>
      <c r="C51" s="52"/>
      <c r="D51" s="52"/>
      <c r="E51" s="53" t="n">
        <f aca="false">SUM(E4:E50)</f>
        <v>122</v>
      </c>
      <c r="F51" s="53" t="n">
        <f aca="false">SUM(F4:F50)</f>
        <v>102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253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222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223</v>
      </c>
      <c r="C5" s="66" t="s">
        <v>224</v>
      </c>
      <c r="D5" s="66"/>
      <c r="E5" s="66" t="s">
        <v>225</v>
      </c>
      <c r="F5" s="66" t="s">
        <v>226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24</v>
      </c>
      <c r="B6" s="72" t="s">
        <v>227</v>
      </c>
      <c r="C6" s="73" t="s">
        <v>228</v>
      </c>
      <c r="D6" s="73"/>
      <c r="E6" s="74" t="n">
        <v>8</v>
      </c>
      <c r="F6" s="75" t="n">
        <f aca="false">E6*$F$4</f>
        <v>28327.84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227</v>
      </c>
      <c r="D7" s="73"/>
      <c r="E7" s="74" t="n">
        <v>12</v>
      </c>
      <c r="F7" s="75" t="n">
        <f aca="false">E7*$F$4</f>
        <v>42491.76</v>
      </c>
      <c r="G7" s="76"/>
    </row>
    <row r="8" customFormat="false" ht="68.25" hidden="false" customHeight="true" outlineLevel="0" collapsed="false">
      <c r="A8" s="77" t="s">
        <v>31</v>
      </c>
      <c r="B8" s="71" t="s">
        <v>229</v>
      </c>
      <c r="C8" s="73" t="s">
        <v>230</v>
      </c>
      <c r="D8" s="73"/>
      <c r="E8" s="75" t="n">
        <f aca="false">SUM(E9:E33)</f>
        <v>102</v>
      </c>
      <c r="F8" s="75" t="n">
        <f aca="false">E8*$F$4</f>
        <v>361179.96</v>
      </c>
      <c r="G8" s="78" t="n">
        <f aca="false">ROUNDUP(E8/8,0)</f>
        <v>13</v>
      </c>
    </row>
    <row r="9" customFormat="false" ht="55.2" hidden="false" customHeight="false" outlineLevel="0" collapsed="false">
      <c r="A9" s="77"/>
      <c r="B9" s="77"/>
      <c r="C9" s="46" t="s">
        <v>24</v>
      </c>
      <c r="D9" s="41" t="str">
        <f aca="false">'Настройка Р2'!B4</f>
        <v>Аналитика разработчика после предпроектного обследования: API, таблица мнемосхемы, листы энергетики</v>
      </c>
      <c r="E9" s="79" t="n">
        <f aca="false">'Настройка Р2'!F4</f>
        <v>12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31</v>
      </c>
      <c r="D10" s="41" t="str">
        <f aca="false">'Настройка Р2'!B5</f>
        <v>Справочник соответствия «показатель API → строка таблицы» (до 60 строк)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36</v>
      </c>
      <c r="D11" s="41" t="str">
        <f aca="false">'Настройка Р2'!B6</f>
        <v>Адаптер новых методов API (формат не определён), разбор срезов</v>
      </c>
      <c r="E11" s="79" t="n">
        <f aca="false">'Настройка Р2'!F6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38</v>
      </c>
      <c r="D12" s="41" t="str">
        <f aca="false">'Настройка Р2'!B7</f>
        <v>Проверка ответа: метка времени среза, NULL</v>
      </c>
      <c r="E12" s="79" t="n">
        <f aca="false">'Настройка Р2'!F7</f>
        <v>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40</v>
      </c>
      <c r="D13" s="41" t="str">
        <f aca="false">'Настройка Р2'!B8</f>
        <v>Внесение до 50 значений в таблицу мнемосхемы (процедура ввода из Р1)</v>
      </c>
      <c r="E13" s="79" t="n">
        <f aca="false">'Настройка Р2'!F8</f>
        <v>14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42</v>
      </c>
      <c r="D14" s="41" t="str">
        <f aca="false">'Настройка Р2'!B9</f>
        <v>Внесение до 10 показателей энергетики (Инфраструктура: сводки / вводные данные, несколько листов)</v>
      </c>
      <c r="E14" s="79" t="n">
        <f aca="false">'Настройка Р2'!F9</f>
        <v>14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44</v>
      </c>
      <c r="D15" s="41" t="str">
        <f aca="false">'Настройка Р2'!B10</f>
        <v>Частый запуск: защита от наложения циклов, очередь с Р1 на одном боте, догон пропущенных срезов, мониторинг</v>
      </c>
      <c r="E15" s="79" t="n">
        <f aca="false">'Настройка Р2'!F10</f>
        <v>16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46</v>
      </c>
      <c r="D16" s="41" t="str">
        <f aca="false">'Настройка Р2'!B11</f>
        <v>Сводный отчёт за сутки</v>
      </c>
      <c r="E16" s="79" t="n">
        <f aca="false">'Настройка Р2'!F11</f>
        <v>2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48</v>
      </c>
      <c r="D17" s="41" t="str">
        <f aca="false">'Настройка Р2'!B12</f>
        <v>Письма только при ошибках</v>
      </c>
      <c r="E17" s="79" t="n">
        <f aca="false">'Настройка Р2'!F12</f>
        <v>2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58</v>
      </c>
      <c r="D18" s="41" t="str">
        <f aca="false">'Настройка Р2'!B13</f>
        <v>Обработка исключений, логирование</v>
      </c>
      <c r="E18" s="79" t="n">
        <f aca="false">'Настройка Р2'!F13</f>
        <v>8</v>
      </c>
      <c r="F18" s="75"/>
      <c r="G18" s="78"/>
    </row>
    <row r="19" customFormat="false" ht="30" hidden="false" customHeight="true" outlineLevel="0" collapsed="false">
      <c r="A19" s="77"/>
      <c r="B19" s="77"/>
      <c r="C19" s="46"/>
      <c r="D19" s="41"/>
      <c r="E19" s="91"/>
      <c r="F19" s="75"/>
      <c r="G19" s="78"/>
    </row>
    <row r="20" customFormat="false" ht="30" hidden="false" customHeight="true" outlineLevel="0" collapsed="false">
      <c r="A20" s="77"/>
      <c r="B20" s="77"/>
      <c r="C20" s="46"/>
      <c r="D20" s="41"/>
      <c r="E20" s="91"/>
      <c r="F20" s="75"/>
      <c r="G20" s="78"/>
    </row>
    <row r="21" customFormat="false" ht="15" hidden="false" customHeight="false" outlineLevel="0" collapsed="false">
      <c r="A21" s="77"/>
      <c r="B21" s="77"/>
      <c r="C21" s="46"/>
      <c r="D21" s="41"/>
      <c r="E21" s="91"/>
      <c r="F21" s="75"/>
      <c r="G21" s="78"/>
    </row>
    <row r="22" customFormat="false" ht="15" hidden="false" customHeight="false" outlineLevel="0" collapsed="false">
      <c r="A22" s="77"/>
      <c r="B22" s="77"/>
      <c r="C22" s="46"/>
      <c r="D22" s="41"/>
      <c r="E22" s="50"/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231</v>
      </c>
      <c r="D34" s="73"/>
      <c r="E34" s="74" t="n">
        <v>14</v>
      </c>
      <c r="F34" s="75" t="n">
        <f aca="false">E34*$F$4</f>
        <v>49573.72</v>
      </c>
      <c r="G34" s="82" t="n">
        <f aca="false">ROUNDUP((E34+E35+E36)/8/0.3,0)</f>
        <v>11</v>
      </c>
    </row>
    <row r="35" customFormat="false" ht="67.5" hidden="false" customHeight="true" outlineLevel="0" collapsed="false">
      <c r="A35" s="77"/>
      <c r="B35" s="83" t="s">
        <v>232</v>
      </c>
      <c r="C35" s="73" t="s">
        <v>233</v>
      </c>
      <c r="D35" s="73"/>
      <c r="E35" s="74" t="n">
        <v>8</v>
      </c>
      <c r="F35" s="75" t="n">
        <f aca="false">E35*$F$4</f>
        <v>28327.84</v>
      </c>
      <c r="G35" s="82"/>
    </row>
    <row r="36" customFormat="false" ht="48.75" hidden="false" customHeight="true" outlineLevel="0" collapsed="false">
      <c r="A36" s="77"/>
      <c r="B36" s="83"/>
      <c r="C36" s="73" t="s">
        <v>234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36</v>
      </c>
      <c r="B37" s="72" t="s">
        <v>235</v>
      </c>
      <c r="C37" s="73" t="s">
        <v>236</v>
      </c>
      <c r="D37" s="73"/>
      <c r="E37" s="74" t="n">
        <v>6</v>
      </c>
      <c r="F37" s="75" t="n">
        <f aca="false">E37*$F$4</f>
        <v>21245.88</v>
      </c>
      <c r="G37" s="82" t="n">
        <f aca="false">ROUNDUP((E37+E38+E39)/8/0.5,0)</f>
        <v>6</v>
      </c>
    </row>
    <row r="38" customFormat="false" ht="48.75" hidden="false" customHeight="true" outlineLevel="0" collapsed="false">
      <c r="A38" s="71"/>
      <c r="B38" s="71"/>
      <c r="C38" s="73" t="s">
        <v>237</v>
      </c>
      <c r="D38" s="73"/>
      <c r="E38" s="74" t="n">
        <v>14</v>
      </c>
      <c r="F38" s="75" t="n">
        <f aca="false">E38*$F$4</f>
        <v>49573.72</v>
      </c>
      <c r="G38" s="82"/>
    </row>
    <row r="39" customFormat="false" ht="45" hidden="false" customHeight="true" outlineLevel="0" collapsed="false">
      <c r="A39" s="71"/>
      <c r="B39" s="71"/>
      <c r="C39" s="73" t="s">
        <v>238</v>
      </c>
      <c r="D39" s="73"/>
      <c r="E39" s="74" t="n">
        <v>4</v>
      </c>
      <c r="F39" s="75" t="n">
        <f aca="false">E39*$F$4</f>
        <v>14163.92</v>
      </c>
      <c r="G39" s="82"/>
      <c r="H39" s="12" t="s">
        <v>239</v>
      </c>
      <c r="I39" s="84" t="n">
        <f aca="false">E6+E7+E8+SUM(E34:E39)</f>
        <v>172</v>
      </c>
    </row>
    <row r="40" s="87" customFormat="true" ht="15" hidden="false" customHeight="true" outlineLevel="0" collapsed="false">
      <c r="A40" s="85" t="s">
        <v>240</v>
      </c>
      <c r="B40" s="85"/>
      <c r="C40" s="85"/>
      <c r="D40" s="85"/>
      <c r="E40" s="85"/>
      <c r="F40" s="85" t="n">
        <f aca="false">SUM(F6:F39)</f>
        <v>609048.56</v>
      </c>
      <c r="G40" s="86" t="n">
        <f aca="false">SUM(G6:G39)</f>
        <v>33</v>
      </c>
      <c r="H40" s="55"/>
      <c r="I40" s="55"/>
      <c r="J40" s="55"/>
    </row>
    <row r="41" s="87" customFormat="true" ht="14.25" hidden="false" customHeight="true" outlineLevel="0" collapsed="false">
      <c r="A41" s="88" t="s">
        <v>241</v>
      </c>
      <c r="B41" s="88"/>
      <c r="C41" s="88"/>
      <c r="D41" s="88"/>
      <c r="E41" s="88"/>
      <c r="F41" s="87" t="n">
        <f aca="false">F40*1.22</f>
        <v>743039.2432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2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2" width="59.28"/>
  </cols>
  <sheetData>
    <row r="1" customFormat="false" ht="45" hidden="false" customHeight="true" outlineLevel="0" collapsed="false">
      <c r="A1" s="93" t="s">
        <v>154</v>
      </c>
      <c r="B1" s="93" t="s">
        <v>155</v>
      </c>
      <c r="C1" s="94" t="s">
        <v>254</v>
      </c>
      <c r="D1" s="94" t="s">
        <v>255</v>
      </c>
      <c r="E1" s="94" t="s">
        <v>256</v>
      </c>
      <c r="F1" s="94" t="s">
        <v>257</v>
      </c>
      <c r="G1" s="94" t="s">
        <v>258</v>
      </c>
      <c r="H1" s="93" t="s">
        <v>259</v>
      </c>
      <c r="I1" s="93" t="s">
        <v>260</v>
      </c>
      <c r="J1" s="93" t="s">
        <v>261</v>
      </c>
      <c r="K1" s="92" t="s">
        <v>262</v>
      </c>
      <c r="L1" s="0" t="n">
        <v>5</v>
      </c>
    </row>
    <row r="2" customFormat="false" ht="40.5" hidden="false" customHeight="true" outlineLevel="0" collapsed="false">
      <c r="A2" s="95" t="s">
        <v>161</v>
      </c>
      <c r="B2" s="96" t="s">
        <v>162</v>
      </c>
      <c r="C2" s="97" t="s">
        <v>263</v>
      </c>
      <c r="D2" s="98" t="n">
        <v>4</v>
      </c>
      <c r="E2" s="98" t="n">
        <v>0</v>
      </c>
      <c r="F2" s="98" t="n">
        <f aca="false">ROUNDUP((D2+E2)/3,0)</f>
        <v>2</v>
      </c>
      <c r="G2" s="98" t="n">
        <f aca="false">SUM(D2:F2)</f>
        <v>6</v>
      </c>
      <c r="H2" s="99" t="n">
        <v>1</v>
      </c>
      <c r="I2" s="99" t="n">
        <f aca="false">E2/G2</f>
        <v>0</v>
      </c>
      <c r="J2" s="99" t="n">
        <v>0</v>
      </c>
      <c r="K2" s="92" t="s">
        <v>264</v>
      </c>
    </row>
    <row r="3" customFormat="false" ht="33.75" hidden="false" customHeight="true" outlineLevel="0" collapsed="false">
      <c r="A3" s="95" t="s">
        <v>161</v>
      </c>
      <c r="B3" s="96" t="s">
        <v>165</v>
      </c>
      <c r="C3" s="97" t="s">
        <v>265</v>
      </c>
      <c r="D3" s="98" t="n">
        <v>12</v>
      </c>
      <c r="E3" s="98" t="n">
        <v>0</v>
      </c>
      <c r="F3" s="98" t="n">
        <f aca="false">ROUNDUP((D3+E3)/3,0)</f>
        <v>4</v>
      </c>
      <c r="G3" s="98" t="n">
        <f aca="false">SUM(D3:F3)</f>
        <v>16</v>
      </c>
      <c r="H3" s="99" t="n">
        <v>1</v>
      </c>
      <c r="I3" s="99" t="n">
        <f aca="false">E3/G3</f>
        <v>0</v>
      </c>
      <c r="J3" s="99" t="n">
        <v>0</v>
      </c>
      <c r="K3" s="92" t="s">
        <v>264</v>
      </c>
    </row>
    <row r="4" customFormat="false" ht="48.75" hidden="false" customHeight="true" outlineLevel="0" collapsed="false">
      <c r="A4" s="95" t="s">
        <v>161</v>
      </c>
      <c r="B4" s="96" t="s">
        <v>170</v>
      </c>
      <c r="C4" s="97" t="s">
        <v>266</v>
      </c>
      <c r="D4" s="98" t="n">
        <v>24</v>
      </c>
      <c r="E4" s="98" t="n">
        <v>0</v>
      </c>
      <c r="F4" s="98" t="n">
        <f aca="false">ROUNDUP((D4+E4)/3,0)</f>
        <v>8</v>
      </c>
      <c r="G4" s="98" t="n">
        <f aca="false">SUM(D4:F4)</f>
        <v>32</v>
      </c>
      <c r="H4" s="99" t="n">
        <v>1</v>
      </c>
      <c r="I4" s="99" t="n">
        <f aca="false">E4/G4</f>
        <v>0</v>
      </c>
      <c r="J4" s="99" t="n">
        <v>0</v>
      </c>
      <c r="K4" s="92" t="s">
        <v>264</v>
      </c>
    </row>
    <row r="5" customFormat="false" ht="120" hidden="false" customHeight="true" outlineLevel="0" collapsed="false">
      <c r="A5" s="95" t="s">
        <v>168</v>
      </c>
      <c r="B5" s="96" t="s">
        <v>162</v>
      </c>
      <c r="C5" s="97" t="s">
        <v>267</v>
      </c>
      <c r="D5" s="98" t="n">
        <v>4</v>
      </c>
      <c r="E5" s="98" t="n">
        <v>0</v>
      </c>
      <c r="F5" s="98" t="n">
        <f aca="false">ROUNDUP((D5+E5)/3,0)</f>
        <v>2</v>
      </c>
      <c r="G5" s="98" t="n">
        <f aca="false">SUM(D5:F5)</f>
        <v>6</v>
      </c>
      <c r="H5" s="99" t="n">
        <v>1</v>
      </c>
      <c r="I5" s="99" t="n">
        <f aca="false">E5/G5</f>
        <v>0</v>
      </c>
      <c r="J5" s="99" t="n">
        <v>0</v>
      </c>
      <c r="K5" s="92" t="s">
        <v>264</v>
      </c>
    </row>
    <row r="6" customFormat="false" ht="120" hidden="false" customHeight="true" outlineLevel="0" collapsed="false">
      <c r="A6" s="95" t="s">
        <v>168</v>
      </c>
      <c r="B6" s="96" t="s">
        <v>165</v>
      </c>
      <c r="C6" s="97" t="s">
        <v>268</v>
      </c>
      <c r="D6" s="98" t="n">
        <v>10</v>
      </c>
      <c r="E6" s="98" t="n">
        <v>0</v>
      </c>
      <c r="F6" s="98" t="n">
        <f aca="false">ROUNDUP((D6+E6)/3,0)</f>
        <v>4</v>
      </c>
      <c r="G6" s="98" t="n">
        <f aca="false">SUM(D6:F6)</f>
        <v>14</v>
      </c>
      <c r="H6" s="99" t="n">
        <v>1</v>
      </c>
      <c r="I6" s="99" t="n">
        <f aca="false">E6/G6</f>
        <v>0</v>
      </c>
      <c r="J6" s="99" t="n">
        <v>0</v>
      </c>
      <c r="K6" s="92" t="s">
        <v>269</v>
      </c>
    </row>
    <row r="7" customFormat="false" ht="120" hidden="false" customHeight="true" outlineLevel="0" collapsed="false">
      <c r="A7" s="95" t="s">
        <v>168</v>
      </c>
      <c r="B7" s="96" t="s">
        <v>170</v>
      </c>
      <c r="C7" s="97" t="s">
        <v>270</v>
      </c>
      <c r="D7" s="98" t="n">
        <v>24</v>
      </c>
      <c r="E7" s="98" t="n">
        <v>0</v>
      </c>
      <c r="F7" s="98" t="n">
        <f aca="false">ROUNDUP((D7+E7)/3,0)</f>
        <v>8</v>
      </c>
      <c r="G7" s="98" t="n">
        <f aca="false">SUM(D7:F7)</f>
        <v>32</v>
      </c>
      <c r="H7" s="99" t="n">
        <v>1</v>
      </c>
      <c r="I7" s="99" t="n">
        <f aca="false">E7/G7</f>
        <v>0</v>
      </c>
      <c r="J7" s="99" t="n">
        <v>0</v>
      </c>
      <c r="K7" s="92" t="s">
        <v>264</v>
      </c>
    </row>
    <row r="8" customFormat="false" ht="30" hidden="false" customHeight="true" outlineLevel="0" collapsed="false">
      <c r="A8" s="95" t="s">
        <v>271</v>
      </c>
      <c r="B8" s="96" t="s">
        <v>162</v>
      </c>
      <c r="C8" s="97" t="s">
        <v>272</v>
      </c>
      <c r="D8" s="98" t="n">
        <v>6</v>
      </c>
      <c r="E8" s="98" t="n">
        <v>0</v>
      </c>
      <c r="F8" s="98" t="n">
        <f aca="false">ROUNDUP((D8+E8)/3,0)</f>
        <v>2</v>
      </c>
      <c r="G8" s="98" t="n">
        <f aca="false">SUM(D8:F8)</f>
        <v>8</v>
      </c>
      <c r="H8" s="99" t="n">
        <v>1</v>
      </c>
      <c r="I8" s="99" t="n">
        <f aca="false">E8/G8</f>
        <v>0</v>
      </c>
      <c r="J8" s="99" t="n">
        <v>0</v>
      </c>
      <c r="K8" s="92" t="s">
        <v>264</v>
      </c>
    </row>
    <row r="9" customFormat="false" ht="30" hidden="false" customHeight="true" outlineLevel="0" collapsed="false">
      <c r="A9" s="95" t="s">
        <v>271</v>
      </c>
      <c r="B9" s="96" t="s">
        <v>165</v>
      </c>
      <c r="C9" s="97" t="s">
        <v>273</v>
      </c>
      <c r="D9" s="98" t="n">
        <v>10</v>
      </c>
      <c r="E9" s="98" t="n">
        <v>0</v>
      </c>
      <c r="F9" s="98" t="n">
        <v>3</v>
      </c>
      <c r="G9" s="98" t="n">
        <f aca="false">SUM(D9:F9)</f>
        <v>13</v>
      </c>
      <c r="H9" s="99" t="n">
        <v>1</v>
      </c>
      <c r="I9" s="99" t="n">
        <f aca="false">E9/G9</f>
        <v>0</v>
      </c>
      <c r="J9" s="99" t="n">
        <v>0</v>
      </c>
      <c r="K9" s="92" t="s">
        <v>264</v>
      </c>
    </row>
    <row r="10" customFormat="false" ht="30" hidden="false" customHeight="true" outlineLevel="0" collapsed="false">
      <c r="A10" s="95" t="s">
        <v>271</v>
      </c>
      <c r="B10" s="96" t="s">
        <v>170</v>
      </c>
      <c r="C10" s="97" t="s">
        <v>274</v>
      </c>
      <c r="D10" s="98" t="n">
        <v>24</v>
      </c>
      <c r="E10" s="98" t="n">
        <v>0</v>
      </c>
      <c r="F10" s="98" t="n">
        <f aca="false">ROUNDUP((D10+E10)/3,0)</f>
        <v>8</v>
      </c>
      <c r="G10" s="98" t="n">
        <f aca="false">SUM(D10:F10)</f>
        <v>32</v>
      </c>
      <c r="H10" s="99" t="n">
        <v>1</v>
      </c>
      <c r="I10" s="99" t="n">
        <f aca="false">E10/G10</f>
        <v>0</v>
      </c>
      <c r="J10" s="99" t="n">
        <v>0</v>
      </c>
      <c r="K10" s="92" t="s">
        <v>264</v>
      </c>
    </row>
    <row r="11" customFormat="false" ht="30" hidden="false" customHeight="true" outlineLevel="0" collapsed="false">
      <c r="A11" s="95" t="s">
        <v>275</v>
      </c>
      <c r="B11" s="96" t="s">
        <v>162</v>
      </c>
      <c r="C11" s="97" t="s">
        <v>276</v>
      </c>
      <c r="D11" s="98" t="n">
        <v>4</v>
      </c>
      <c r="E11" s="98" t="n">
        <v>0</v>
      </c>
      <c r="F11" s="98" t="n">
        <f aca="false">ROUNDUP((D11+E11)/3,0)</f>
        <v>2</v>
      </c>
      <c r="G11" s="98" t="n">
        <f aca="false">SUM(D11:F11)</f>
        <v>6</v>
      </c>
      <c r="H11" s="99" t="n">
        <v>1</v>
      </c>
      <c r="I11" s="99" t="n">
        <f aca="false">E11/G11</f>
        <v>0</v>
      </c>
      <c r="J11" s="99" t="n">
        <v>0</v>
      </c>
      <c r="K11" s="92" t="s">
        <v>264</v>
      </c>
    </row>
    <row r="12" customFormat="false" ht="30" hidden="false" customHeight="true" outlineLevel="0" collapsed="false">
      <c r="A12" s="95" t="s">
        <v>275</v>
      </c>
      <c r="B12" s="96" t="s">
        <v>165</v>
      </c>
      <c r="C12" s="97" t="s">
        <v>277</v>
      </c>
      <c r="D12" s="98" t="n">
        <v>8</v>
      </c>
      <c r="E12" s="98" t="n">
        <v>0</v>
      </c>
      <c r="F12" s="98" t="n">
        <f aca="false">ROUNDUP((D12+E12)/3,0)</f>
        <v>3</v>
      </c>
      <c r="G12" s="98" t="n">
        <f aca="false">SUM(D12:F12)</f>
        <v>11</v>
      </c>
      <c r="H12" s="99" t="n">
        <v>1</v>
      </c>
      <c r="I12" s="99" t="n">
        <f aca="false">E12/G12</f>
        <v>0</v>
      </c>
      <c r="J12" s="99" t="n">
        <v>0</v>
      </c>
      <c r="K12" s="92" t="s">
        <v>264</v>
      </c>
    </row>
    <row r="13" customFormat="false" ht="30" hidden="false" customHeight="true" outlineLevel="0" collapsed="false">
      <c r="A13" s="95" t="s">
        <v>275</v>
      </c>
      <c r="B13" s="96" t="s">
        <v>170</v>
      </c>
      <c r="C13" s="97" t="s">
        <v>278</v>
      </c>
      <c r="D13" s="98" t="n">
        <v>20</v>
      </c>
      <c r="E13" s="98" t="n">
        <v>0</v>
      </c>
      <c r="F13" s="98" t="n">
        <f aca="false">ROUNDUP((D13+E13)/3,0)</f>
        <v>7</v>
      </c>
      <c r="G13" s="98" t="n">
        <f aca="false">SUM(D13:F13)</f>
        <v>27</v>
      </c>
      <c r="H13" s="99" t="n">
        <v>1</v>
      </c>
      <c r="I13" s="99" t="n">
        <f aca="false">E13/G13</f>
        <v>0</v>
      </c>
      <c r="J13" s="99" t="n">
        <v>0</v>
      </c>
      <c r="K13" s="92" t="s">
        <v>264</v>
      </c>
    </row>
    <row r="14" customFormat="false" ht="30" hidden="false" customHeight="true" outlineLevel="0" collapsed="false">
      <c r="A14" s="97" t="s">
        <v>174</v>
      </c>
      <c r="B14" s="96" t="s">
        <v>162</v>
      </c>
      <c r="C14" s="97" t="s">
        <v>279</v>
      </c>
      <c r="D14" s="98" t="n">
        <v>4</v>
      </c>
      <c r="E14" s="98" t="n">
        <v>0</v>
      </c>
      <c r="F14" s="98" t="n">
        <f aca="false">ROUNDUP((D14+E14)/3,0)</f>
        <v>2</v>
      </c>
      <c r="G14" s="98" t="n">
        <f aca="false">SUM(D14:F14)</f>
        <v>6</v>
      </c>
      <c r="H14" s="99" t="n">
        <v>1</v>
      </c>
      <c r="I14" s="99" t="n">
        <f aca="false">E14/G14</f>
        <v>0</v>
      </c>
      <c r="J14" s="99" t="n">
        <v>0</v>
      </c>
      <c r="K14" s="92" t="s">
        <v>264</v>
      </c>
    </row>
    <row r="15" customFormat="false" ht="30" hidden="false" customHeight="true" outlineLevel="0" collapsed="false">
      <c r="A15" s="97" t="s">
        <v>174</v>
      </c>
      <c r="B15" s="96" t="s">
        <v>165</v>
      </c>
      <c r="C15" s="97" t="s">
        <v>280</v>
      </c>
      <c r="D15" s="98" t="n">
        <v>8</v>
      </c>
      <c r="E15" s="98" t="n">
        <v>0</v>
      </c>
      <c r="F15" s="98" t="n">
        <f aca="false">ROUNDUP((D15+E15)/3,0)</f>
        <v>3</v>
      </c>
      <c r="G15" s="98" t="n">
        <f aca="false">SUM(D15:F15)</f>
        <v>11</v>
      </c>
      <c r="H15" s="99" t="n">
        <v>1</v>
      </c>
      <c r="I15" s="99" t="n">
        <f aca="false">E15/G15</f>
        <v>0</v>
      </c>
      <c r="J15" s="99" t="n">
        <v>0</v>
      </c>
      <c r="K15" s="92" t="s">
        <v>264</v>
      </c>
    </row>
    <row r="16" customFormat="false" ht="30" hidden="false" customHeight="true" outlineLevel="0" collapsed="false">
      <c r="A16" s="97" t="s">
        <v>174</v>
      </c>
      <c r="B16" s="96" t="s">
        <v>170</v>
      </c>
      <c r="C16" s="97" t="s">
        <v>281</v>
      </c>
      <c r="D16" s="98" t="n">
        <v>20</v>
      </c>
      <c r="E16" s="98" t="n">
        <v>0</v>
      </c>
      <c r="F16" s="98" t="n">
        <f aca="false">ROUNDUP((D16+E16)/3,0)</f>
        <v>7</v>
      </c>
      <c r="G16" s="98" t="n">
        <f aca="false">SUM(D16:F16)</f>
        <v>27</v>
      </c>
      <c r="H16" s="99" t="n">
        <v>1</v>
      </c>
      <c r="I16" s="99" t="n">
        <f aca="false">E16/G16</f>
        <v>0</v>
      </c>
      <c r="J16" s="99" t="n">
        <v>0</v>
      </c>
      <c r="K16" s="92" t="s">
        <v>264</v>
      </c>
    </row>
    <row r="17" customFormat="false" ht="30" hidden="false" customHeight="true" outlineLevel="0" collapsed="false">
      <c r="A17" s="97" t="s">
        <v>282</v>
      </c>
      <c r="B17" s="96" t="s">
        <v>162</v>
      </c>
      <c r="C17" s="97" t="s">
        <v>283</v>
      </c>
      <c r="D17" s="98" t="n">
        <v>4</v>
      </c>
      <c r="E17" s="98" t="n">
        <v>0</v>
      </c>
      <c r="F17" s="98" t="n">
        <f aca="false">ROUNDUP((D17+E17)/3,0)</f>
        <v>2</v>
      </c>
      <c r="G17" s="98" t="n">
        <f aca="false">SUM(D17:F17)</f>
        <v>6</v>
      </c>
      <c r="H17" s="99" t="n">
        <v>1</v>
      </c>
      <c r="I17" s="99" t="n">
        <f aca="false">E17/G17</f>
        <v>0</v>
      </c>
      <c r="J17" s="99" t="n">
        <v>0</v>
      </c>
      <c r="K17" s="92" t="s">
        <v>264</v>
      </c>
    </row>
    <row r="18" customFormat="false" ht="30" hidden="false" customHeight="true" outlineLevel="0" collapsed="false">
      <c r="A18" s="97" t="s">
        <v>282</v>
      </c>
      <c r="B18" s="96" t="s">
        <v>165</v>
      </c>
      <c r="C18" s="97" t="s">
        <v>284</v>
      </c>
      <c r="D18" s="98" t="n">
        <v>8</v>
      </c>
      <c r="E18" s="98" t="n">
        <v>0</v>
      </c>
      <c r="F18" s="98" t="n">
        <f aca="false">ROUNDUP((D18+E18)/3,0)</f>
        <v>3</v>
      </c>
      <c r="G18" s="98" t="n">
        <f aca="false">SUM(D18:F18)</f>
        <v>11</v>
      </c>
      <c r="H18" s="99" t="n">
        <v>1</v>
      </c>
      <c r="I18" s="99" t="n">
        <f aca="false">E18/G18</f>
        <v>0</v>
      </c>
      <c r="J18" s="99" t="n">
        <v>0</v>
      </c>
      <c r="K18" s="92" t="s">
        <v>264</v>
      </c>
    </row>
    <row r="19" customFormat="false" ht="30" hidden="false" customHeight="true" outlineLevel="0" collapsed="false">
      <c r="A19" s="100" t="s">
        <v>282</v>
      </c>
      <c r="B19" s="101" t="s">
        <v>170</v>
      </c>
      <c r="C19" s="100" t="s">
        <v>285</v>
      </c>
      <c r="D19" s="102" t="n">
        <v>20</v>
      </c>
      <c r="E19" s="102" t="n">
        <v>0</v>
      </c>
      <c r="F19" s="102" t="n">
        <f aca="false">ROUNDUP((D19+E19)/3,0)</f>
        <v>7</v>
      </c>
      <c r="G19" s="102" t="n">
        <f aca="false">SUM(D19:F19)</f>
        <v>27</v>
      </c>
      <c r="H19" s="99" t="n">
        <v>1</v>
      </c>
      <c r="I19" s="99" t="n">
        <f aca="false">E19/G19</f>
        <v>0</v>
      </c>
      <c r="J19" s="99" t="n">
        <v>0</v>
      </c>
      <c r="K19" s="92" t="s">
        <v>264</v>
      </c>
    </row>
    <row r="20" customFormat="false" ht="94.5" hidden="false" customHeight="true" outlineLevel="0" collapsed="false">
      <c r="A20" s="97" t="s">
        <v>184</v>
      </c>
      <c r="B20" s="95" t="s">
        <v>162</v>
      </c>
      <c r="C20" s="103" t="s">
        <v>286</v>
      </c>
      <c r="D20" s="98" t="n">
        <v>4</v>
      </c>
      <c r="E20" s="98" t="n">
        <v>0</v>
      </c>
      <c r="F20" s="102" t="n">
        <f aca="false">ROUNDUP((D20+E20)/3,0)</f>
        <v>2</v>
      </c>
      <c r="G20" s="102" t="n">
        <f aca="false">SUM(D20:F20)</f>
        <v>6</v>
      </c>
      <c r="H20" s="99" t="n">
        <v>1</v>
      </c>
      <c r="I20" s="99" t="n">
        <f aca="false">E20/G20</f>
        <v>0</v>
      </c>
      <c r="J20" s="99" t="n">
        <v>0</v>
      </c>
      <c r="K20" s="92" t="s">
        <v>264</v>
      </c>
    </row>
    <row r="21" customFormat="false" ht="126" hidden="false" customHeight="true" outlineLevel="0" collapsed="false">
      <c r="A21" s="97" t="s">
        <v>184</v>
      </c>
      <c r="B21" s="95" t="s">
        <v>165</v>
      </c>
      <c r="C21" s="103" t="s">
        <v>287</v>
      </c>
      <c r="D21" s="98" t="n">
        <v>8</v>
      </c>
      <c r="E21" s="98" t="n">
        <v>0</v>
      </c>
      <c r="F21" s="102" t="n">
        <f aca="false">ROUNDUP((D21+E21)/3,0)</f>
        <v>3</v>
      </c>
      <c r="G21" s="102" t="n">
        <f aca="false">SUM(D21:F21)</f>
        <v>11</v>
      </c>
      <c r="H21" s="99" t="n">
        <v>1</v>
      </c>
      <c r="I21" s="99" t="n">
        <f aca="false">E21/G21</f>
        <v>0</v>
      </c>
      <c r="J21" s="99" t="n">
        <v>0</v>
      </c>
      <c r="K21" s="92" t="s">
        <v>264</v>
      </c>
    </row>
    <row r="22" customFormat="false" ht="157.5" hidden="false" customHeight="true" outlineLevel="0" collapsed="false">
      <c r="A22" s="97" t="s">
        <v>184</v>
      </c>
      <c r="B22" s="95" t="s">
        <v>170</v>
      </c>
      <c r="C22" s="103" t="s">
        <v>288</v>
      </c>
      <c r="D22" s="7" t="n">
        <v>16</v>
      </c>
      <c r="E22" s="7" t="n">
        <v>0</v>
      </c>
      <c r="F22" s="102" t="n">
        <f aca="false">ROUNDUP((D22+E22)/3,0)</f>
        <v>6</v>
      </c>
      <c r="G22" s="102" t="n">
        <f aca="false">SUM(D22:F22)</f>
        <v>22</v>
      </c>
      <c r="H22" s="99" t="n">
        <v>1</v>
      </c>
      <c r="I22" s="99" t="n">
        <f aca="false">E22/G22</f>
        <v>0</v>
      </c>
      <c r="J22" s="99" t="n">
        <v>0</v>
      </c>
      <c r="K22" s="92" t="s">
        <v>264</v>
      </c>
    </row>
    <row r="23" customFormat="false" ht="30" hidden="false" customHeight="true" outlineLevel="0" collapsed="false">
      <c r="A23" s="7" t="s">
        <v>289</v>
      </c>
      <c r="B23" s="96" t="s">
        <v>162</v>
      </c>
      <c r="C23" s="104" t="s">
        <v>290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9" t="n">
        <v>1</v>
      </c>
      <c r="I23" s="99" t="n">
        <f aca="false">E23/G23</f>
        <v>0</v>
      </c>
      <c r="J23" s="99" t="n">
        <v>0</v>
      </c>
      <c r="K23" s="92" t="s">
        <v>264</v>
      </c>
    </row>
    <row r="24" customFormat="false" ht="30" hidden="false" customHeight="true" outlineLevel="0" collapsed="false">
      <c r="A24" s="7" t="s">
        <v>289</v>
      </c>
      <c r="B24" s="96" t="s">
        <v>165</v>
      </c>
      <c r="C24" s="104" t="s">
        <v>291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9" t="n">
        <v>1</v>
      </c>
      <c r="I24" s="99" t="n">
        <f aca="false">E24/G24</f>
        <v>0</v>
      </c>
      <c r="J24" s="99" t="n">
        <v>0</v>
      </c>
      <c r="K24" s="92" t="s">
        <v>264</v>
      </c>
    </row>
    <row r="25" customFormat="false" ht="30" hidden="false" customHeight="true" outlineLevel="0" collapsed="false">
      <c r="A25" s="7" t="s">
        <v>289</v>
      </c>
      <c r="B25" s="96" t="s">
        <v>170</v>
      </c>
      <c r="C25" s="104" t="s">
        <v>292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9" t="n">
        <v>1</v>
      </c>
      <c r="I25" s="99" t="n">
        <f aca="false">E25/G25</f>
        <v>0.416666666666667</v>
      </c>
      <c r="J25" s="99" t="n">
        <v>0</v>
      </c>
      <c r="K25" s="92" t="s">
        <v>264</v>
      </c>
    </row>
    <row r="26" customFormat="false" ht="15.75" hidden="false" customHeight="true" outlineLevel="0" collapsed="false">
      <c r="A26" s="105" t="s">
        <v>293</v>
      </c>
      <c r="B26" s="106" t="s">
        <v>162</v>
      </c>
      <c r="C26" s="107" t="s">
        <v>294</v>
      </c>
      <c r="D26" s="108" t="n">
        <v>2</v>
      </c>
      <c r="E26" s="108" t="n">
        <v>0</v>
      </c>
      <c r="F26" s="108" t="n">
        <f aca="false">ROUNDUP((D26+E26)/3,0)</f>
        <v>1</v>
      </c>
      <c r="G26" s="108" t="n">
        <f aca="false">SUM(D26:F26)</f>
        <v>3</v>
      </c>
      <c r="H26" s="99" t="n">
        <v>1</v>
      </c>
      <c r="I26" s="99" t="n">
        <f aca="false">E26/G26</f>
        <v>0</v>
      </c>
      <c r="J26" s="99" t="n">
        <v>0</v>
      </c>
      <c r="K26" s="107" t="s">
        <v>295</v>
      </c>
    </row>
    <row r="27" customFormat="false" ht="15.75" hidden="false" customHeight="true" outlineLevel="0" collapsed="false">
      <c r="A27" s="105" t="s">
        <v>293</v>
      </c>
      <c r="B27" s="106" t="s">
        <v>165</v>
      </c>
      <c r="C27" s="104" t="s">
        <v>296</v>
      </c>
      <c r="D27" s="108" t="n">
        <v>4</v>
      </c>
      <c r="E27" s="108" t="n">
        <v>0</v>
      </c>
      <c r="F27" s="108" t="n">
        <f aca="false">ROUNDUP((D27+E27)/3,0)</f>
        <v>2</v>
      </c>
      <c r="G27" s="108" t="n">
        <f aca="false">SUM(D27:F27)</f>
        <v>6</v>
      </c>
      <c r="H27" s="99" t="n">
        <v>1</v>
      </c>
      <c r="I27" s="99" t="n">
        <f aca="false">E27/G27</f>
        <v>0</v>
      </c>
      <c r="J27" s="99" t="n">
        <v>0</v>
      </c>
      <c r="K27" s="109"/>
    </row>
    <row r="28" customFormat="false" ht="15.75" hidden="false" customHeight="true" outlineLevel="0" collapsed="false">
      <c r="A28" s="105" t="s">
        <v>293</v>
      </c>
      <c r="B28" s="106" t="s">
        <v>170</v>
      </c>
      <c r="C28" s="107" t="s">
        <v>297</v>
      </c>
      <c r="D28" s="108" t="n">
        <v>8</v>
      </c>
      <c r="E28" s="108" t="n">
        <v>0</v>
      </c>
      <c r="F28" s="108" t="n">
        <f aca="false">ROUNDUP((D28+E28)/3,0)</f>
        <v>3</v>
      </c>
      <c r="G28" s="108" t="n">
        <f aca="false">SUM(D28:F28)</f>
        <v>11</v>
      </c>
      <c r="H28" s="99" t="n">
        <v>1</v>
      </c>
      <c r="I28" s="99" t="n">
        <f aca="false">E28/G28</f>
        <v>0</v>
      </c>
      <c r="J28" s="99" t="n">
        <v>0</v>
      </c>
      <c r="K28" s="109"/>
    </row>
    <row r="29" customFormat="false" ht="15.75" hidden="false" customHeight="true" outlineLevel="0" collapsed="false">
      <c r="A29" s="110" t="s">
        <v>298</v>
      </c>
      <c r="B29" s="106" t="s">
        <v>162</v>
      </c>
      <c r="C29" s="111"/>
      <c r="D29" s="110" t="n">
        <v>16</v>
      </c>
      <c r="E29" s="110" t="n">
        <v>0</v>
      </c>
      <c r="F29" s="110" t="n">
        <f aca="false">ROUNDUP((D29+E29)/3,0)</f>
        <v>6</v>
      </c>
      <c r="G29" s="110" t="n">
        <f aca="false">SUM(D29:F29)</f>
        <v>22</v>
      </c>
      <c r="H29" s="98" t="n">
        <v>1</v>
      </c>
      <c r="I29" s="98" t="n">
        <f aca="false">E29/G29</f>
        <v>0</v>
      </c>
      <c r="J29" s="98" t="n">
        <v>0</v>
      </c>
      <c r="K29" s="112" t="s">
        <v>299</v>
      </c>
      <c r="L29" s="113"/>
    </row>
    <row r="30" customFormat="false" ht="15.75" hidden="false" customHeight="true" outlineLevel="0" collapsed="false">
      <c r="A30" s="110" t="s">
        <v>298</v>
      </c>
      <c r="B30" s="106" t="s">
        <v>165</v>
      </c>
      <c r="C30" s="111"/>
      <c r="D30" s="110" t="n">
        <v>24</v>
      </c>
      <c r="E30" s="110" t="n">
        <v>0</v>
      </c>
      <c r="F30" s="110" t="n">
        <f aca="false">ROUNDUP((D30+E30)/3,0)</f>
        <v>8</v>
      </c>
      <c r="G30" s="110" t="n">
        <f aca="false">SUM(D30:F30)</f>
        <v>32</v>
      </c>
      <c r="H30" s="98" t="n">
        <v>1</v>
      </c>
      <c r="I30" s="98" t="n">
        <f aca="false">E30/G30</f>
        <v>0</v>
      </c>
      <c r="J30" s="98" t="n">
        <v>0</v>
      </c>
      <c r="K30" s="107"/>
      <c r="L30" s="114"/>
    </row>
    <row r="31" customFormat="false" ht="15.75" hidden="false" customHeight="true" outlineLevel="0" collapsed="false">
      <c r="A31" s="110" t="s">
        <v>298</v>
      </c>
      <c r="B31" s="106" t="s">
        <v>170</v>
      </c>
      <c r="C31" s="111"/>
      <c r="D31" s="110" t="n">
        <v>40</v>
      </c>
      <c r="E31" s="110" t="n">
        <v>40</v>
      </c>
      <c r="F31" s="110" t="n">
        <f aca="false">ROUNDUP((D31+E31)/3,0)</f>
        <v>27</v>
      </c>
      <c r="G31" s="110" t="n">
        <f aca="false">SUM(D31:F31)</f>
        <v>107</v>
      </c>
      <c r="H31" s="98" t="n">
        <v>1</v>
      </c>
      <c r="I31" s="98" t="n">
        <f aca="false">E31/G31</f>
        <v>0.373831775700935</v>
      </c>
      <c r="J31" s="98" t="n">
        <v>0</v>
      </c>
      <c r="K31" s="107"/>
      <c r="L31" s="114"/>
    </row>
    <row r="32" customFormat="false" ht="15.75" hidden="false" customHeight="true" outlineLevel="0" collapsed="false">
      <c r="A32" s="110" t="s">
        <v>164</v>
      </c>
      <c r="B32" s="106" t="s">
        <v>162</v>
      </c>
      <c r="C32" s="111" t="s">
        <v>300</v>
      </c>
      <c r="D32" s="110" t="n">
        <v>16</v>
      </c>
      <c r="E32" s="110" t="n">
        <v>0</v>
      </c>
      <c r="F32" s="110" t="n">
        <f aca="false">ROUNDUP((D32+E32)/3,0)</f>
        <v>6</v>
      </c>
      <c r="G32" s="110" t="n">
        <f aca="false">SUM(D32:F32)</f>
        <v>22</v>
      </c>
      <c r="H32" s="99" t="n">
        <v>1</v>
      </c>
      <c r="I32" s="99" t="n">
        <f aca="false">E32/G32</f>
        <v>0</v>
      </c>
      <c r="J32" s="99" t="n">
        <v>0</v>
      </c>
      <c r="K32" s="112" t="s">
        <v>164</v>
      </c>
      <c r="L32" s="113"/>
    </row>
    <row r="33" customFormat="false" ht="15.75" hidden="false" customHeight="true" outlineLevel="0" collapsed="false">
      <c r="A33" s="110" t="s">
        <v>164</v>
      </c>
      <c r="B33" s="106" t="s">
        <v>165</v>
      </c>
      <c r="C33" s="111" t="s">
        <v>301</v>
      </c>
      <c r="D33" s="110" t="n">
        <v>24</v>
      </c>
      <c r="E33" s="110" t="n">
        <v>0</v>
      </c>
      <c r="F33" s="110" t="n">
        <f aca="false">ROUNDUP((D33+E33)/3,0)</f>
        <v>8</v>
      </c>
      <c r="G33" s="110" t="n">
        <f aca="false">SUM(D33:F33)</f>
        <v>32</v>
      </c>
      <c r="H33" s="99" t="n">
        <v>1</v>
      </c>
      <c r="I33" s="99" t="n">
        <f aca="false">E33/G33</f>
        <v>0</v>
      </c>
      <c r="J33" s="99" t="n">
        <v>0</v>
      </c>
      <c r="K33" s="109"/>
      <c r="L33" s="114"/>
    </row>
    <row r="34" customFormat="false" ht="15.75" hidden="false" customHeight="true" outlineLevel="0" collapsed="false">
      <c r="A34" s="110" t="s">
        <v>164</v>
      </c>
      <c r="B34" s="106" t="s">
        <v>170</v>
      </c>
      <c r="C34" s="111" t="s">
        <v>302</v>
      </c>
      <c r="D34" s="110" t="n">
        <v>40</v>
      </c>
      <c r="E34" s="110" t="n">
        <v>40</v>
      </c>
      <c r="F34" s="110" t="n">
        <f aca="false">ROUNDUP((D34+E34)/3,0)</f>
        <v>27</v>
      </c>
      <c r="G34" s="110" t="n">
        <f aca="false">SUM(D34:F34)</f>
        <v>107</v>
      </c>
      <c r="H34" s="99" t="n">
        <v>1</v>
      </c>
      <c r="I34" s="99" t="n">
        <f aca="false">E34/G34</f>
        <v>0.373831775700935</v>
      </c>
      <c r="J34" s="99" t="n">
        <v>0</v>
      </c>
      <c r="K34" s="109"/>
      <c r="L34" s="114"/>
    </row>
    <row r="35" customFormat="false" ht="15.75" hidden="false" customHeight="true" outlineLevel="0" collapsed="false">
      <c r="A35" s="110" t="s">
        <v>303</v>
      </c>
      <c r="B35" s="106" t="s">
        <v>162</v>
      </c>
      <c r="C35" s="111" t="s">
        <v>300</v>
      </c>
      <c r="D35" s="110" t="n">
        <v>16</v>
      </c>
      <c r="E35" s="110" t="n">
        <v>0</v>
      </c>
      <c r="F35" s="110" t="n">
        <f aca="false">ROUNDUP((D35+E35)/3,0)</f>
        <v>6</v>
      </c>
      <c r="G35" s="110" t="n">
        <f aca="false">SUM(D35:F35)</f>
        <v>22</v>
      </c>
      <c r="H35" s="99" t="n">
        <v>1</v>
      </c>
      <c r="I35" s="99" t="n">
        <f aca="false">E35/G35</f>
        <v>0</v>
      </c>
      <c r="J35" s="99" t="n">
        <v>0</v>
      </c>
      <c r="K35" s="112" t="s">
        <v>303</v>
      </c>
      <c r="L35" s="113"/>
    </row>
    <row r="36" customFormat="false" ht="15.75" hidden="false" customHeight="true" outlineLevel="0" collapsed="false">
      <c r="A36" s="110" t="s">
        <v>303</v>
      </c>
      <c r="B36" s="106" t="s">
        <v>165</v>
      </c>
      <c r="C36" s="111" t="s">
        <v>301</v>
      </c>
      <c r="D36" s="110" t="n">
        <v>24</v>
      </c>
      <c r="E36" s="110" t="n">
        <v>0</v>
      </c>
      <c r="F36" s="110" t="n">
        <f aca="false">ROUNDUP((D36+E36)/3,0)</f>
        <v>8</v>
      </c>
      <c r="G36" s="110" t="n">
        <f aca="false">SUM(D36:F36)</f>
        <v>32</v>
      </c>
      <c r="H36" s="99" t="n">
        <v>1</v>
      </c>
      <c r="I36" s="99" t="n">
        <f aca="false">E36/G36</f>
        <v>0</v>
      </c>
      <c r="J36" s="99" t="n">
        <v>0</v>
      </c>
      <c r="K36" s="109"/>
      <c r="L36" s="114"/>
    </row>
    <row r="37" customFormat="false" ht="15.75" hidden="false" customHeight="true" outlineLevel="0" collapsed="false">
      <c r="A37" s="110" t="s">
        <v>303</v>
      </c>
      <c r="B37" s="106" t="s">
        <v>170</v>
      </c>
      <c r="C37" s="111" t="s">
        <v>302</v>
      </c>
      <c r="D37" s="110" t="n">
        <v>40</v>
      </c>
      <c r="E37" s="110" t="n">
        <v>40</v>
      </c>
      <c r="F37" s="110" t="n">
        <f aca="false">ROUNDUP((D37+E37)/3,0)</f>
        <v>27</v>
      </c>
      <c r="G37" s="110" t="n">
        <f aca="false">SUM(D37:F37)</f>
        <v>107</v>
      </c>
      <c r="H37" s="99" t="n">
        <v>1</v>
      </c>
      <c r="I37" s="99" t="n">
        <f aca="false">E37/G37</f>
        <v>0.373831775700935</v>
      </c>
      <c r="J37" s="99" t="n">
        <v>0</v>
      </c>
      <c r="K37" s="109"/>
      <c r="L37" s="114"/>
    </row>
    <row r="38" customFormat="false" ht="15.75" hidden="false" customHeight="true" outlineLevel="0" collapsed="false">
      <c r="A38" s="110" t="s">
        <v>304</v>
      </c>
      <c r="B38" s="106" t="s">
        <v>162</v>
      </c>
      <c r="C38" s="111" t="s">
        <v>300</v>
      </c>
      <c r="D38" s="110" t="n">
        <v>16</v>
      </c>
      <c r="E38" s="110" t="n">
        <v>0</v>
      </c>
      <c r="F38" s="110" t="n">
        <f aca="false">ROUNDUP((D38+E38)/3,0)</f>
        <v>6</v>
      </c>
      <c r="G38" s="110" t="n">
        <f aca="false">SUM(D38:F38)</f>
        <v>22</v>
      </c>
      <c r="H38" s="98" t="n">
        <v>1</v>
      </c>
      <c r="I38" s="98" t="n">
        <f aca="false">E38/G38</f>
        <v>0</v>
      </c>
      <c r="J38" s="98" t="n">
        <v>0</v>
      </c>
      <c r="K38" s="112" t="s">
        <v>304</v>
      </c>
      <c r="L38" s="113"/>
    </row>
    <row r="39" customFormat="false" ht="15.75" hidden="false" customHeight="true" outlineLevel="0" collapsed="false">
      <c r="A39" s="110" t="s">
        <v>304</v>
      </c>
      <c r="B39" s="106" t="s">
        <v>165</v>
      </c>
      <c r="C39" s="111" t="s">
        <v>305</v>
      </c>
      <c r="D39" s="110" t="n">
        <v>24</v>
      </c>
      <c r="E39" s="110" t="n">
        <v>0</v>
      </c>
      <c r="F39" s="110" t="n">
        <f aca="false">ROUNDUP((D39+E39)/3,0)</f>
        <v>8</v>
      </c>
      <c r="G39" s="110" t="n">
        <f aca="false">SUM(D39:F39)</f>
        <v>32</v>
      </c>
      <c r="H39" s="98" t="n">
        <v>1</v>
      </c>
      <c r="I39" s="98" t="n">
        <f aca="false">E39/G39</f>
        <v>0</v>
      </c>
      <c r="J39" s="98" t="n">
        <v>0</v>
      </c>
      <c r="K39" s="107"/>
      <c r="L39" s="114"/>
    </row>
    <row r="40" customFormat="false" ht="15.75" hidden="false" customHeight="true" outlineLevel="0" collapsed="false">
      <c r="A40" s="110" t="s">
        <v>304</v>
      </c>
      <c r="B40" s="106" t="s">
        <v>170</v>
      </c>
      <c r="C40" s="111" t="s">
        <v>306</v>
      </c>
      <c r="D40" s="110" t="n">
        <v>40</v>
      </c>
      <c r="E40" s="110" t="n">
        <v>40</v>
      </c>
      <c r="F40" s="110" t="n">
        <f aca="false">ROUNDUP((D40+E40)/3,0)</f>
        <v>27</v>
      </c>
      <c r="G40" s="110" t="n">
        <f aca="false">SUM(D40:F40)</f>
        <v>107</v>
      </c>
      <c r="H40" s="98" t="n">
        <v>1</v>
      </c>
      <c r="I40" s="98" t="n">
        <f aca="false">E40/G40</f>
        <v>0.373831775700935</v>
      </c>
      <c r="J40" s="98" t="n">
        <v>0</v>
      </c>
      <c r="K40" s="107"/>
      <c r="L40" s="114"/>
    </row>
    <row r="41" customFormat="false" ht="15.75" hidden="false" customHeight="true" outlineLevel="0" collapsed="false">
      <c r="A41" s="111"/>
      <c r="B41" s="106"/>
      <c r="C41" s="111"/>
      <c r="D41" s="110"/>
      <c r="E41" s="110"/>
      <c r="F41" s="110"/>
      <c r="G41" s="110"/>
      <c r="H41" s="98"/>
      <c r="I41" s="98"/>
      <c r="J41" s="98"/>
      <c r="K41" s="114"/>
      <c r="L41" s="113"/>
    </row>
    <row r="42" customFormat="false" ht="15.75" hidden="false" customHeight="true" outlineLevel="0" collapsed="false">
      <c r="A42" s="111"/>
      <c r="B42" s="106"/>
      <c r="C42" s="111"/>
      <c r="D42" s="110"/>
      <c r="E42" s="110"/>
      <c r="F42" s="110"/>
      <c r="G42" s="110"/>
      <c r="H42" s="98"/>
      <c r="I42" s="98"/>
      <c r="J42" s="98"/>
      <c r="K42" s="107"/>
      <c r="L42" s="114"/>
    </row>
    <row r="43" customFormat="false" ht="15.75" hidden="false" customHeight="true" outlineLevel="0" collapsed="false">
      <c r="A43" s="111"/>
      <c r="B43" s="106"/>
      <c r="C43" s="111"/>
      <c r="D43" s="110"/>
      <c r="E43" s="110"/>
      <c r="F43" s="110"/>
      <c r="G43" s="110"/>
      <c r="H43" s="98"/>
      <c r="I43" s="98"/>
      <c r="J43" s="98"/>
      <c r="K43" s="107"/>
      <c r="L43" s="114"/>
    </row>
    <row r="44" customFormat="false" ht="15.75" hidden="false" customHeight="true" outlineLevel="0" collapsed="false">
      <c r="A44" s="105"/>
      <c r="B44" s="115"/>
      <c r="C44" s="116"/>
      <c r="D44" s="117"/>
      <c r="E44" s="117"/>
      <c r="F44" s="117"/>
      <c r="G44" s="117"/>
      <c r="H44" s="118"/>
      <c r="I44" s="118"/>
      <c r="J44" s="118"/>
      <c r="K44" s="119"/>
    </row>
    <row r="45" customFormat="false" ht="15" hidden="false" customHeight="false" outlineLevel="0" collapsed="false">
      <c r="A45" s="93" t="s">
        <v>307</v>
      </c>
    </row>
    <row r="46" customFormat="false" ht="45" hidden="false" customHeight="true" outlineLevel="0" collapsed="false">
      <c r="A46" s="120" t="s">
        <v>154</v>
      </c>
      <c r="B46" s="120" t="s">
        <v>155</v>
      </c>
      <c r="C46" s="121" t="s">
        <v>254</v>
      </c>
      <c r="D46" s="121" t="s">
        <v>255</v>
      </c>
      <c r="E46" s="121" t="s">
        <v>256</v>
      </c>
      <c r="F46" s="121" t="s">
        <v>257</v>
      </c>
      <c r="G46" s="121" t="s">
        <v>258</v>
      </c>
      <c r="H46" s="122"/>
      <c r="I46" s="122"/>
      <c r="J46" s="122"/>
    </row>
    <row r="47" customFormat="false" ht="15" hidden="false" customHeight="false" outlineLevel="0" collapsed="false">
      <c r="A47" s="7" t="s">
        <v>308</v>
      </c>
      <c r="B47" s="96" t="s">
        <v>162</v>
      </c>
      <c r="C47" s="104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3" t="n">
        <f aca="false">D47/G47</f>
        <v>0.727272727272727</v>
      </c>
      <c r="I47" s="123" t="n">
        <f aca="false">E47/G47</f>
        <v>0</v>
      </c>
      <c r="J47" s="123" t="n">
        <f aca="false">F47/G47</f>
        <v>0.272727272727273</v>
      </c>
    </row>
    <row r="48" customFormat="false" ht="15" hidden="false" customHeight="false" outlineLevel="0" collapsed="false">
      <c r="A48" s="7" t="s">
        <v>308</v>
      </c>
      <c r="B48" s="96" t="s">
        <v>165</v>
      </c>
      <c r="C48" s="104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3" t="n">
        <f aca="false">D48/G48</f>
        <v>0.5</v>
      </c>
      <c r="I48" s="123" t="n">
        <f aca="false">E48/G48</f>
        <v>0.25</v>
      </c>
      <c r="J48" s="123" t="n">
        <f aca="false">F48/G48</f>
        <v>0.25</v>
      </c>
    </row>
    <row r="49" customFormat="false" ht="15" hidden="false" customHeight="false" outlineLevel="0" collapsed="false">
      <c r="A49" s="7" t="s">
        <v>308</v>
      </c>
      <c r="B49" s="96" t="s">
        <v>170</v>
      </c>
      <c r="C49" s="104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3" t="n">
        <f aca="false">D49/G49</f>
        <v>0.372093023255814</v>
      </c>
      <c r="I49" s="123" t="n">
        <f aca="false">E49/G49</f>
        <v>0.372093023255814</v>
      </c>
      <c r="J49" s="123" t="n">
        <f aca="false">F49/G49</f>
        <v>0.255813953488372</v>
      </c>
    </row>
    <row r="50" customFormat="false" ht="15" hidden="false" customHeight="false" outlineLevel="0" collapsed="false">
      <c r="A50" s="7" t="s">
        <v>309</v>
      </c>
      <c r="B50" s="96" t="s">
        <v>162</v>
      </c>
      <c r="C50" s="104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3" t="n">
        <f aca="false">D50/G50</f>
        <v>0.727272727272727</v>
      </c>
      <c r="I50" s="123" t="n">
        <f aca="false">E50/G50</f>
        <v>0</v>
      </c>
      <c r="J50" s="123" t="n">
        <f aca="false">F50/G50</f>
        <v>0.272727272727273</v>
      </c>
    </row>
    <row r="51" customFormat="false" ht="15" hidden="false" customHeight="false" outlineLevel="0" collapsed="false">
      <c r="A51" s="7" t="s">
        <v>309</v>
      </c>
      <c r="B51" s="96" t="s">
        <v>165</v>
      </c>
      <c r="C51" s="104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3" t="n">
        <f aca="false">D51/G51</f>
        <v>0.5</v>
      </c>
      <c r="I51" s="123" t="n">
        <f aca="false">E51/G51</f>
        <v>0.25</v>
      </c>
      <c r="J51" s="123" t="n">
        <f aca="false">F51/G51</f>
        <v>0.25</v>
      </c>
    </row>
    <row r="52" customFormat="false" ht="15" hidden="false" customHeight="false" outlineLevel="0" collapsed="false">
      <c r="A52" s="7" t="s">
        <v>309</v>
      </c>
      <c r="B52" s="96" t="s">
        <v>170</v>
      </c>
      <c r="C52" s="104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3" t="n">
        <f aca="false">D52/G52</f>
        <v>0.372093023255814</v>
      </c>
      <c r="I52" s="123" t="n">
        <f aca="false">E52/G52</f>
        <v>0.372093023255814</v>
      </c>
      <c r="J52" s="123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4" t="s">
        <v>2</v>
      </c>
      <c r="B1" s="124" t="s">
        <v>310</v>
      </c>
    </row>
    <row r="2" customFormat="false" ht="15" hidden="false" customHeight="false" outlineLevel="0" collapsed="false">
      <c r="A2" s="125" t="n">
        <v>1</v>
      </c>
      <c r="B2" s="125" t="s">
        <v>311</v>
      </c>
    </row>
    <row r="3" customFormat="false" ht="15" hidden="false" customHeight="false" outlineLevel="0" collapsed="false">
      <c r="A3" s="125" t="n">
        <v>2</v>
      </c>
      <c r="B3" s="125" t="s">
        <v>312</v>
      </c>
    </row>
    <row r="4" customFormat="false" ht="15" hidden="false" customHeight="false" outlineLevel="0" collapsed="false">
      <c r="A4" s="125" t="n">
        <v>3</v>
      </c>
      <c r="B4" s="125" t="s">
        <v>313</v>
      </c>
    </row>
    <row r="5" customFormat="false" ht="15" hidden="false" customHeight="false" outlineLevel="0" collapsed="false">
      <c r="A5" s="125" t="n">
        <v>4</v>
      </c>
    </row>
    <row r="6" customFormat="false" ht="15" hidden="false" customHeight="false" outlineLevel="0" collapsed="false">
      <c r="D6" s="0" t="s">
        <v>314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6" t="s">
        <v>315</v>
      </c>
      <c r="B1" s="126" t="s">
        <v>154</v>
      </c>
      <c r="C1" s="126" t="s">
        <v>316</v>
      </c>
    </row>
    <row r="2" customFormat="false" ht="15" hidden="false" customHeight="false" outlineLevel="0" collapsed="false">
      <c r="A2" s="127" t="s">
        <v>162</v>
      </c>
      <c r="B2" s="95" t="s">
        <v>161</v>
      </c>
      <c r="C2" s="128" t="s">
        <v>308</v>
      </c>
      <c r="E2" s="129"/>
      <c r="F2" s="129"/>
    </row>
    <row r="3" customFormat="false" ht="15" hidden="false" customHeight="false" outlineLevel="0" collapsed="false">
      <c r="A3" s="127" t="s">
        <v>165</v>
      </c>
      <c r="B3" s="95" t="s">
        <v>168</v>
      </c>
      <c r="C3" s="128" t="s">
        <v>309</v>
      </c>
      <c r="E3" s="129"/>
      <c r="F3" s="129"/>
    </row>
    <row r="4" customFormat="false" ht="15" hidden="false" customHeight="false" outlineLevel="0" collapsed="false">
      <c r="A4" s="127" t="s">
        <v>170</v>
      </c>
      <c r="B4" s="95" t="s">
        <v>271</v>
      </c>
      <c r="E4" s="129"/>
      <c r="F4" s="129"/>
    </row>
    <row r="5" customFormat="false" ht="15" hidden="false" customHeight="false" outlineLevel="0" collapsed="false">
      <c r="A5" s="127" t="s">
        <v>317</v>
      </c>
      <c r="B5" s="95" t="s">
        <v>275</v>
      </c>
      <c r="E5" s="129"/>
      <c r="F5" s="129"/>
    </row>
    <row r="6" customFormat="false" ht="15" hidden="false" customHeight="false" outlineLevel="0" collapsed="false">
      <c r="B6" s="97" t="s">
        <v>174</v>
      </c>
    </row>
    <row r="7" customFormat="false" ht="15" hidden="false" customHeight="false" outlineLevel="0" collapsed="false">
      <c r="B7" s="97" t="s">
        <v>282</v>
      </c>
    </row>
    <row r="8" customFormat="false" ht="15" hidden="false" customHeight="false" outlineLevel="0" collapsed="false">
      <c r="B8" s="97" t="s">
        <v>184</v>
      </c>
    </row>
    <row r="9" customFormat="false" ht="15" hidden="false" customHeight="false" outlineLevel="0" collapsed="false">
      <c r="B9" s="97" t="s">
        <v>289</v>
      </c>
    </row>
    <row r="10" customFormat="false" ht="15.75" hidden="false" customHeight="true" outlineLevel="0" collapsed="false">
      <c r="B10" s="105" t="s">
        <v>293</v>
      </c>
    </row>
    <row r="11" customFormat="false" ht="15" hidden="false" customHeight="false" outlineLevel="0" collapsed="false">
      <c r="B11" s="97" t="s">
        <v>298</v>
      </c>
    </row>
    <row r="12" customFormat="false" ht="15" hidden="false" customHeight="false" outlineLevel="0" collapsed="false">
      <c r="B12" s="7" t="s">
        <v>164</v>
      </c>
    </row>
    <row r="13" customFormat="false" ht="15" hidden="false" customHeight="false" outlineLevel="0" collapsed="false">
      <c r="B13" s="97" t="s">
        <v>303</v>
      </c>
    </row>
    <row r="14" customFormat="false" ht="15" hidden="false" customHeight="false" outlineLevel="0" collapsed="false">
      <c r="B14" s="97" t="s">
        <v>304</v>
      </c>
    </row>
    <row r="15" customFormat="false" ht="15" hidden="false" customHeight="false" outlineLevel="0" collapsed="false">
      <c r="B15" s="130"/>
    </row>
    <row r="16" customFormat="false" ht="15" hidden="false" customHeight="false" outlineLevel="0" collapsed="false">
      <c r="C16" s="131"/>
    </row>
    <row r="17" customFormat="false" ht="15" hidden="false" customHeight="false" outlineLevel="0" collapsed="false">
      <c r="C17" s="131"/>
    </row>
    <row r="18" customFormat="false" ht="15" hidden="false" customHeight="false" outlineLevel="0" collapsed="false">
      <c r="C18" s="131"/>
    </row>
    <row r="24" customFormat="false" ht="15" hidden="false" customHeight="false" outlineLevel="0" collapsed="false">
      <c r="B24" s="132"/>
    </row>
    <row r="25" customFormat="false" ht="15" hidden="false" customHeight="false" outlineLevel="0" collapsed="false">
      <c r="B25" s="132"/>
    </row>
    <row r="26" customFormat="false" ht="15" hidden="false" customHeight="false" outlineLevel="0" collapsed="false">
      <c r="B26" s="132"/>
    </row>
    <row r="27" customFormat="false" ht="15" hidden="false" customHeight="false" outlineLevel="0" collapsed="false">
      <c r="B27" s="132"/>
    </row>
    <row r="28" customFormat="false" ht="15" hidden="false" customHeight="false" outlineLevel="0" collapsed="false">
      <c r="B28" s="132"/>
    </row>
    <row r="29" customFormat="false" ht="15" hidden="false" customHeight="false" outlineLevel="0" collapsed="false">
      <c r="B29" s="132"/>
    </row>
    <row r="30" customFormat="false" ht="15" hidden="false" customHeight="false" outlineLevel="0" collapsed="false">
      <c r="B30" s="132"/>
    </row>
    <row r="31" customFormat="false" ht="15" hidden="false" customHeight="false" outlineLevel="0" collapsed="false">
      <c r="B31" s="132"/>
    </row>
    <row r="32" customFormat="false" ht="15" hidden="false" customHeight="false" outlineLevel="0" collapsed="false">
      <c r="B32" s="132"/>
    </row>
    <row r="33" customFormat="false" ht="15" hidden="false" customHeight="false" outlineLevel="0" collapsed="false">
      <c r="B33" s="132"/>
    </row>
    <row r="34" customFormat="false" ht="15" hidden="false" customHeight="false" outlineLevel="0" collapsed="false">
      <c r="B34" s="132"/>
    </row>
    <row r="35" customFormat="false" ht="15" hidden="false" customHeight="false" outlineLevel="0" collapsed="false">
      <c r="B35" s="132"/>
    </row>
    <row r="36" customFormat="false" ht="15" hidden="false" customHeight="false" outlineLevel="0" collapsed="false">
      <c r="B36" s="133"/>
    </row>
    <row r="37" customFormat="false" ht="15" hidden="false" customHeight="false" outlineLevel="0" collapsed="false">
      <c r="B37" s="133"/>
    </row>
    <row r="38" customFormat="false" ht="15" hidden="false" customHeight="false" outlineLevel="0" collapsed="false">
      <c r="B38" s="133"/>
    </row>
    <row r="39" customFormat="false" ht="15" hidden="false" customHeight="false" outlineLevel="0" collapsed="false">
      <c r="B39" s="133"/>
    </row>
    <row r="40" customFormat="false" ht="15" hidden="false" customHeight="false" outlineLevel="0" collapsed="false">
      <c r="B40" s="133"/>
    </row>
    <row r="41" customFormat="false" ht="15" hidden="false" customHeight="false" outlineLevel="0" collapsed="false">
      <c r="B41" s="133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2026-09-24T19:31:53Z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